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13_ncr:1_{59FEF35C-ED30-4A28-9A21-8F74BCD84DCA}" xr6:coauthVersionLast="47" xr6:coauthVersionMax="47" xr10:uidLastSave="{00000000-0000-0000-0000-000000000000}"/>
  <bookViews>
    <workbookView xWindow="-108" yWindow="-108" windowWidth="23256" windowHeight="12576" xr2:uid="{D050096F-3AF8-4141-ADCA-536BDA5449CF}"/>
  </bookViews>
  <sheets>
    <sheet name="Coil filling" sheetId="1" r:id="rId1"/>
    <sheet name="High T 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/>
  <c r="F5" i="1"/>
  <c r="F7" i="1"/>
  <c r="M4" i="1"/>
  <c r="D8" i="1"/>
  <c r="E8" i="1" s="1"/>
  <c r="D7" i="1"/>
  <c r="D6" i="1"/>
  <c r="E6" i="1" s="1"/>
  <c r="L5" i="2"/>
  <c r="K5" i="2"/>
  <c r="D5" i="1"/>
  <c r="E5" i="1" s="1"/>
  <c r="J4" i="1"/>
  <c r="D4" i="1"/>
  <c r="F4" i="1" s="1"/>
  <c r="E4" i="1" l="1"/>
  <c r="E7" i="1"/>
</calcChain>
</file>

<file path=xl/sharedStrings.xml><?xml version="1.0" encoding="utf-8"?>
<sst xmlns="http://schemas.openxmlformats.org/spreadsheetml/2006/main" count="24" uniqueCount="19">
  <si>
    <t>d (mm)</t>
  </si>
  <si>
    <t>A (mm²)</t>
  </si>
  <si>
    <t>W (mm)</t>
  </si>
  <si>
    <t>L (mm)</t>
  </si>
  <si>
    <t>Rectangular Sample</t>
  </si>
  <si>
    <t>Measurement T (°C)</t>
  </si>
  <si>
    <t>Remanence (T)</t>
  </si>
  <si>
    <t>Coercivity (kA/m)</t>
  </si>
  <si>
    <t>Insert experimental data</t>
  </si>
  <si>
    <t>β(%/°C)</t>
  </si>
  <si>
    <r>
      <t xml:space="preserve"> </t>
    </r>
    <r>
      <rPr>
        <sz val="11"/>
        <color theme="1"/>
        <rFont val="Aptos Narrow"/>
        <family val="2"/>
      </rPr>
      <t>α</t>
    </r>
    <r>
      <rPr>
        <sz val="11"/>
        <color theme="1"/>
        <rFont val="Aptos Narrow"/>
        <family val="2"/>
        <scheme val="minor"/>
      </rPr>
      <t>(%/°C)</t>
    </r>
  </si>
  <si>
    <t>Calculated data</t>
  </si>
  <si>
    <t>Insert</t>
  </si>
  <si>
    <t>Cilyndric Sample</t>
  </si>
  <si>
    <t>Desired T (°C)</t>
  </si>
  <si>
    <t>Circular Coil</t>
  </si>
  <si>
    <t>50% Filling</t>
  </si>
  <si>
    <t>70% Filling</t>
  </si>
  <si>
    <t>Insert T 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</si>
</sst>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164" fontId="0" fillId="0" borderId="8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7DE-264C-43A3-A55F-3409B24C8EC5}">
  <dimension ref="C1:M8"/>
  <sheetViews>
    <sheetView tabSelected="1" workbookViewId="0">
      <selection activeCell="F9" sqref="F9"/>
    </sheetView>
  </sheetViews>
  <sheetFormatPr defaultRowHeight="14.4" x14ac:dyDescent="0.3"/>
  <cols>
    <col min="4" max="6" width="9.5546875" bestFit="1" customWidth="1"/>
  </cols>
  <sheetData>
    <row r="1" spans="3:13" ht="15" thickBot="1" x14ac:dyDescent="0.35"/>
    <row r="2" spans="3:13" ht="15" thickBot="1" x14ac:dyDescent="0.35">
      <c r="C2" s="27" t="s">
        <v>15</v>
      </c>
      <c r="D2" s="28"/>
      <c r="E2" s="28"/>
      <c r="F2" s="29"/>
      <c r="H2" s="24" t="s">
        <v>4</v>
      </c>
      <c r="I2" s="25"/>
      <c r="J2" s="26"/>
      <c r="L2" s="30" t="s">
        <v>13</v>
      </c>
      <c r="M2" s="31"/>
    </row>
    <row r="3" spans="3:13" ht="15" thickBot="1" x14ac:dyDescent="0.35">
      <c r="C3" s="12" t="s">
        <v>0</v>
      </c>
      <c r="D3" s="13" t="s">
        <v>1</v>
      </c>
      <c r="E3" s="13" t="s">
        <v>16</v>
      </c>
      <c r="F3" s="14" t="s">
        <v>17</v>
      </c>
      <c r="H3" s="2" t="s">
        <v>2</v>
      </c>
      <c r="I3" s="1" t="s">
        <v>3</v>
      </c>
      <c r="J3" s="3" t="s">
        <v>1</v>
      </c>
      <c r="L3" s="2" t="s">
        <v>0</v>
      </c>
      <c r="M3" s="3" t="s">
        <v>1</v>
      </c>
    </row>
    <row r="4" spans="3:13" ht="15" thickBot="1" x14ac:dyDescent="0.35">
      <c r="C4" s="9">
        <v>60</v>
      </c>
      <c r="D4" s="10">
        <f>PI()*(C4*C4)/4</f>
        <v>2827.4333882308138</v>
      </c>
      <c r="E4" s="10">
        <f>D4*0.5</f>
        <v>1413.7166941154069</v>
      </c>
      <c r="F4" s="11">
        <f>D4*0.7</f>
        <v>1979.2033717615695</v>
      </c>
      <c r="H4" s="15">
        <v>10.97</v>
      </c>
      <c r="I4" s="6">
        <v>23.35</v>
      </c>
      <c r="J4" s="7">
        <f>I4*H4</f>
        <v>256.14950000000005</v>
      </c>
      <c r="L4" s="15">
        <v>9</v>
      </c>
      <c r="M4" s="7">
        <f xml:space="preserve"> PI()*(L4*L4)/4</f>
        <v>63.617251235193308</v>
      </c>
    </row>
    <row r="5" spans="3:13" x14ac:dyDescent="0.3">
      <c r="C5" s="2">
        <v>40</v>
      </c>
      <c r="D5" s="4">
        <f>PI()*(C5*C5)/4</f>
        <v>1256.6370614359173</v>
      </c>
      <c r="E5" s="4">
        <f>D5*0.5</f>
        <v>628.31853071795865</v>
      </c>
      <c r="F5" s="5">
        <f>D5*0.7</f>
        <v>879.64594300514204</v>
      </c>
    </row>
    <row r="6" spans="3:13" x14ac:dyDescent="0.3">
      <c r="C6" s="2">
        <v>26</v>
      </c>
      <c r="D6" s="4">
        <f>PI()*(C6*C6)/4</f>
        <v>530.92915845667505</v>
      </c>
      <c r="E6" s="4">
        <f>D6*0.5</f>
        <v>265.46457922833753</v>
      </c>
      <c r="F6" s="5">
        <f>D6*0.7</f>
        <v>371.65041091967254</v>
      </c>
    </row>
    <row r="7" spans="3:13" x14ac:dyDescent="0.3">
      <c r="C7" s="2">
        <v>15</v>
      </c>
      <c r="D7" s="4">
        <f>PI()*(C7*C7)/4</f>
        <v>176.71458676442586</v>
      </c>
      <c r="E7" s="4">
        <f>D7*0.5</f>
        <v>88.35729338221293</v>
      </c>
      <c r="F7" s="5">
        <f>D7*0.7</f>
        <v>123.7002107350981</v>
      </c>
    </row>
    <row r="8" spans="3:13" ht="15" thickBot="1" x14ac:dyDescent="0.35">
      <c r="C8" s="8">
        <v>10</v>
      </c>
      <c r="D8" s="6">
        <f>PI()*(C8*C8)/4</f>
        <v>78.539816339744831</v>
      </c>
      <c r="E8" s="6">
        <f>D8*0.5</f>
        <v>39.269908169872416</v>
      </c>
      <c r="F8" s="7">
        <f>D8*0.7</f>
        <v>54.977871437821378</v>
      </c>
    </row>
  </sheetData>
  <mergeCells count="3">
    <mergeCell ref="H2:J2"/>
    <mergeCell ref="C2:F2"/>
    <mergeCell ref="L2:M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0A02-C186-48A7-B98B-AABF19F06D50}">
  <dimension ref="B2:L5"/>
  <sheetViews>
    <sheetView workbookViewId="0">
      <selection activeCell="D5" sqref="D5"/>
    </sheetView>
  </sheetViews>
  <sheetFormatPr defaultRowHeight="14.4" x14ac:dyDescent="0.3"/>
  <cols>
    <col min="2" max="2" width="16.88671875" bestFit="1" customWidth="1"/>
    <col min="3" max="3" width="13.109375" bestFit="1" customWidth="1"/>
    <col min="4" max="4" width="14.6640625" bestFit="1" customWidth="1"/>
    <col min="9" max="9" width="16.88671875" bestFit="1" customWidth="1"/>
    <col min="10" max="10" width="8.88671875" customWidth="1"/>
    <col min="11" max="11" width="13.109375" bestFit="1" customWidth="1"/>
    <col min="12" max="12" width="14.6640625" bestFit="1" customWidth="1"/>
  </cols>
  <sheetData>
    <row r="2" spans="2:12" ht="15" thickBot="1" x14ac:dyDescent="0.35"/>
    <row r="3" spans="2:12" x14ac:dyDescent="0.3">
      <c r="B3" s="32" t="s">
        <v>8</v>
      </c>
      <c r="C3" s="33"/>
      <c r="D3" s="34"/>
      <c r="F3" s="35" t="s">
        <v>18</v>
      </c>
      <c r="G3" s="36"/>
      <c r="I3" s="23" t="s">
        <v>12</v>
      </c>
      <c r="K3" s="37" t="s">
        <v>11</v>
      </c>
      <c r="L3" s="38"/>
    </row>
    <row r="4" spans="2:12" x14ac:dyDescent="0.3">
      <c r="B4" s="17" t="s">
        <v>5</v>
      </c>
      <c r="C4" s="16" t="s">
        <v>6</v>
      </c>
      <c r="D4" s="18" t="s">
        <v>7</v>
      </c>
      <c r="F4" s="17" t="s">
        <v>10</v>
      </c>
      <c r="G4" s="18" t="s">
        <v>9</v>
      </c>
      <c r="I4" s="20" t="s">
        <v>14</v>
      </c>
      <c r="K4" s="2" t="s">
        <v>6</v>
      </c>
      <c r="L4" s="3" t="s">
        <v>7</v>
      </c>
    </row>
    <row r="5" spans="2:12" ht="15" thickBot="1" x14ac:dyDescent="0.35">
      <c r="B5" s="15">
        <v>20</v>
      </c>
      <c r="C5" s="19">
        <v>1.379</v>
      </c>
      <c r="D5" s="7">
        <v>1534</v>
      </c>
      <c r="F5" s="15">
        <v>0.11</v>
      </c>
      <c r="G5" s="7">
        <v>0.56000000000000005</v>
      </c>
      <c r="I5" s="21">
        <v>130</v>
      </c>
      <c r="K5" s="22">
        <f>C5*(1-(I5-B5)*(F5/100))</f>
        <v>1.2121409999999999</v>
      </c>
      <c r="L5" s="7">
        <f>D5*(1-(I5-B5)*(G5/100))</f>
        <v>589.05599999999981</v>
      </c>
    </row>
  </sheetData>
  <mergeCells count="3">
    <mergeCell ref="B3:D3"/>
    <mergeCell ref="F3:G3"/>
    <mergeCell ref="K3:L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Coil filling</vt:lpstr>
      <vt:lpstr>High T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Maccari</dc:creator>
  <cp:lastModifiedBy>Fernando Maccari</cp:lastModifiedBy>
  <dcterms:created xsi:type="dcterms:W3CDTF">2025-02-06T16:09:07Z</dcterms:created>
  <dcterms:modified xsi:type="dcterms:W3CDTF">2025-02-12T10:05:57Z</dcterms:modified>
</cp:coreProperties>
</file>