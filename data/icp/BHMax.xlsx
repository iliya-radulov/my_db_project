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MUSER\Desktop\"/>
    </mc:Choice>
  </mc:AlternateContent>
  <bookViews>
    <workbookView xWindow="-105" yWindow="-105" windowWidth="23250" windowHeight="12450" activeTab="2"/>
  </bookViews>
  <sheets>
    <sheet name="Need updates Sample 6 30s-600°C" sheetId="1" r:id="rId1"/>
    <sheet name="Samples 30s" sheetId="6" r:id="rId2"/>
    <sheet name="Samples 120s" sheetId="7" r:id="rId3"/>
    <sheet name="Edge" sheetId="8" r:id="rId4"/>
    <sheet name="Figures of Merit" sheetId="9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4" i="7" l="1"/>
  <c r="Z120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Z47" i="7"/>
  <c r="Z48" i="7"/>
  <c r="Z49" i="7"/>
  <c r="Z50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Z69" i="7"/>
  <c r="Z70" i="7"/>
  <c r="Z71" i="7"/>
  <c r="Z72" i="7"/>
  <c r="Z73" i="7"/>
  <c r="Z74" i="7"/>
  <c r="Z75" i="7"/>
  <c r="Z76" i="7"/>
  <c r="Z77" i="7"/>
  <c r="Z78" i="7"/>
  <c r="Z79" i="7"/>
  <c r="Z80" i="7"/>
  <c r="Z81" i="7"/>
  <c r="Z82" i="7"/>
  <c r="Z83" i="7"/>
  <c r="Z84" i="7"/>
  <c r="Z85" i="7"/>
  <c r="Z86" i="7"/>
  <c r="Z87" i="7"/>
  <c r="Z88" i="7"/>
  <c r="Z89" i="7"/>
  <c r="Z90" i="7"/>
  <c r="Z91" i="7"/>
  <c r="Z92" i="7"/>
  <c r="Z93" i="7"/>
  <c r="Z94" i="7"/>
  <c r="Z95" i="7"/>
  <c r="Z96" i="7"/>
  <c r="Z97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112" i="7"/>
  <c r="Z113" i="7"/>
  <c r="Z114" i="7"/>
  <c r="Z115" i="7"/>
  <c r="Z116" i="7"/>
  <c r="Z117" i="7"/>
  <c r="Z118" i="7"/>
  <c r="Z119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86" i="7"/>
  <c r="Y87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Y115" i="7"/>
  <c r="Y116" i="7"/>
  <c r="Y117" i="7"/>
  <c r="Y118" i="7"/>
  <c r="Y119" i="7"/>
  <c r="Y12" i="7"/>
  <c r="Z12" i="7" s="1"/>
  <c r="T13" i="7"/>
  <c r="T19" i="7"/>
  <c r="T25" i="7"/>
  <c r="T31" i="7"/>
  <c r="T37" i="7"/>
  <c r="T43" i="7"/>
  <c r="T49" i="7"/>
  <c r="T55" i="7"/>
  <c r="T61" i="7"/>
  <c r="T67" i="7"/>
  <c r="T73" i="7"/>
  <c r="T79" i="7"/>
  <c r="T85" i="7"/>
  <c r="T91" i="7"/>
  <c r="T97" i="7"/>
  <c r="T103" i="7"/>
  <c r="T109" i="7"/>
  <c r="T115" i="7"/>
  <c r="T121" i="7"/>
  <c r="T127" i="7"/>
  <c r="T133" i="7"/>
  <c r="S13" i="7"/>
  <c r="S14" i="7"/>
  <c r="T14" i="7" s="1"/>
  <c r="S15" i="7"/>
  <c r="T15" i="7" s="1"/>
  <c r="S16" i="7"/>
  <c r="T16" i="7" s="1"/>
  <c r="S17" i="7"/>
  <c r="T17" i="7" s="1"/>
  <c r="S18" i="7"/>
  <c r="T18" i="7" s="1"/>
  <c r="S19" i="7"/>
  <c r="S20" i="7"/>
  <c r="T20" i="7" s="1"/>
  <c r="S21" i="7"/>
  <c r="T21" i="7" s="1"/>
  <c r="S22" i="7"/>
  <c r="T22" i="7" s="1"/>
  <c r="S23" i="7"/>
  <c r="T23" i="7" s="1"/>
  <c r="S24" i="7"/>
  <c r="T24" i="7" s="1"/>
  <c r="S25" i="7"/>
  <c r="S26" i="7"/>
  <c r="T26" i="7" s="1"/>
  <c r="S27" i="7"/>
  <c r="T27" i="7" s="1"/>
  <c r="S28" i="7"/>
  <c r="T28" i="7" s="1"/>
  <c r="S29" i="7"/>
  <c r="T29" i="7" s="1"/>
  <c r="S30" i="7"/>
  <c r="T30" i="7" s="1"/>
  <c r="S31" i="7"/>
  <c r="S32" i="7"/>
  <c r="T32" i="7" s="1"/>
  <c r="S33" i="7"/>
  <c r="T33" i="7" s="1"/>
  <c r="S34" i="7"/>
  <c r="T34" i="7" s="1"/>
  <c r="S35" i="7"/>
  <c r="T35" i="7" s="1"/>
  <c r="S36" i="7"/>
  <c r="T36" i="7" s="1"/>
  <c r="S37" i="7"/>
  <c r="S38" i="7"/>
  <c r="T38" i="7" s="1"/>
  <c r="S39" i="7"/>
  <c r="T39" i="7" s="1"/>
  <c r="S40" i="7"/>
  <c r="T40" i="7" s="1"/>
  <c r="S41" i="7"/>
  <c r="T41" i="7" s="1"/>
  <c r="S42" i="7"/>
  <c r="T42" i="7" s="1"/>
  <c r="S43" i="7"/>
  <c r="S44" i="7"/>
  <c r="T44" i="7" s="1"/>
  <c r="S45" i="7"/>
  <c r="T45" i="7" s="1"/>
  <c r="S46" i="7"/>
  <c r="T46" i="7" s="1"/>
  <c r="S47" i="7"/>
  <c r="T47" i="7" s="1"/>
  <c r="S48" i="7"/>
  <c r="T48" i="7" s="1"/>
  <c r="S49" i="7"/>
  <c r="S50" i="7"/>
  <c r="T50" i="7" s="1"/>
  <c r="S51" i="7"/>
  <c r="T51" i="7" s="1"/>
  <c r="S52" i="7"/>
  <c r="T52" i="7" s="1"/>
  <c r="S53" i="7"/>
  <c r="T53" i="7" s="1"/>
  <c r="S54" i="7"/>
  <c r="T54" i="7" s="1"/>
  <c r="S55" i="7"/>
  <c r="S56" i="7"/>
  <c r="T56" i="7" s="1"/>
  <c r="S57" i="7"/>
  <c r="T57" i="7" s="1"/>
  <c r="S58" i="7"/>
  <c r="T58" i="7" s="1"/>
  <c r="S59" i="7"/>
  <c r="T59" i="7" s="1"/>
  <c r="S60" i="7"/>
  <c r="T60" i="7" s="1"/>
  <c r="S61" i="7"/>
  <c r="S62" i="7"/>
  <c r="T62" i="7" s="1"/>
  <c r="S63" i="7"/>
  <c r="T63" i="7" s="1"/>
  <c r="S64" i="7"/>
  <c r="T64" i="7" s="1"/>
  <c r="S65" i="7"/>
  <c r="T65" i="7" s="1"/>
  <c r="S66" i="7"/>
  <c r="T66" i="7" s="1"/>
  <c r="S67" i="7"/>
  <c r="S68" i="7"/>
  <c r="T68" i="7" s="1"/>
  <c r="S69" i="7"/>
  <c r="T69" i="7" s="1"/>
  <c r="S70" i="7"/>
  <c r="T70" i="7" s="1"/>
  <c r="S71" i="7"/>
  <c r="T71" i="7" s="1"/>
  <c r="S72" i="7"/>
  <c r="T72" i="7" s="1"/>
  <c r="S73" i="7"/>
  <c r="S74" i="7"/>
  <c r="T74" i="7" s="1"/>
  <c r="S75" i="7"/>
  <c r="T75" i="7" s="1"/>
  <c r="S76" i="7"/>
  <c r="T76" i="7" s="1"/>
  <c r="S77" i="7"/>
  <c r="T77" i="7" s="1"/>
  <c r="S78" i="7"/>
  <c r="T78" i="7" s="1"/>
  <c r="S79" i="7"/>
  <c r="S80" i="7"/>
  <c r="T80" i="7" s="1"/>
  <c r="S81" i="7"/>
  <c r="T81" i="7" s="1"/>
  <c r="S82" i="7"/>
  <c r="T82" i="7" s="1"/>
  <c r="S83" i="7"/>
  <c r="T83" i="7" s="1"/>
  <c r="S84" i="7"/>
  <c r="T84" i="7" s="1"/>
  <c r="S85" i="7"/>
  <c r="S86" i="7"/>
  <c r="T86" i="7" s="1"/>
  <c r="S87" i="7"/>
  <c r="T87" i="7" s="1"/>
  <c r="S88" i="7"/>
  <c r="T88" i="7" s="1"/>
  <c r="S89" i="7"/>
  <c r="T89" i="7" s="1"/>
  <c r="S90" i="7"/>
  <c r="T90" i="7" s="1"/>
  <c r="S91" i="7"/>
  <c r="S92" i="7"/>
  <c r="T92" i="7" s="1"/>
  <c r="S93" i="7"/>
  <c r="T93" i="7" s="1"/>
  <c r="S94" i="7"/>
  <c r="T94" i="7" s="1"/>
  <c r="S95" i="7"/>
  <c r="T95" i="7" s="1"/>
  <c r="S96" i="7"/>
  <c r="T96" i="7" s="1"/>
  <c r="S97" i="7"/>
  <c r="S98" i="7"/>
  <c r="T98" i="7" s="1"/>
  <c r="S99" i="7"/>
  <c r="T99" i="7" s="1"/>
  <c r="S100" i="7"/>
  <c r="T100" i="7" s="1"/>
  <c r="S101" i="7"/>
  <c r="T101" i="7" s="1"/>
  <c r="S102" i="7"/>
  <c r="T102" i="7" s="1"/>
  <c r="S103" i="7"/>
  <c r="S104" i="7"/>
  <c r="T104" i="7" s="1"/>
  <c r="S105" i="7"/>
  <c r="T105" i="7" s="1"/>
  <c r="S106" i="7"/>
  <c r="T106" i="7" s="1"/>
  <c r="S107" i="7"/>
  <c r="T107" i="7" s="1"/>
  <c r="S108" i="7"/>
  <c r="T108" i="7" s="1"/>
  <c r="S109" i="7"/>
  <c r="S110" i="7"/>
  <c r="T110" i="7" s="1"/>
  <c r="S111" i="7"/>
  <c r="T111" i="7" s="1"/>
  <c r="S112" i="7"/>
  <c r="T112" i="7" s="1"/>
  <c r="S113" i="7"/>
  <c r="T113" i="7" s="1"/>
  <c r="S114" i="7"/>
  <c r="T114" i="7" s="1"/>
  <c r="S115" i="7"/>
  <c r="S116" i="7"/>
  <c r="T116" i="7" s="1"/>
  <c r="S117" i="7"/>
  <c r="T117" i="7" s="1"/>
  <c r="S118" i="7"/>
  <c r="T118" i="7" s="1"/>
  <c r="S119" i="7"/>
  <c r="T119" i="7" s="1"/>
  <c r="S120" i="7"/>
  <c r="T120" i="7" s="1"/>
  <c r="S121" i="7"/>
  <c r="S122" i="7"/>
  <c r="T122" i="7" s="1"/>
  <c r="S123" i="7"/>
  <c r="T123" i="7" s="1"/>
  <c r="S124" i="7"/>
  <c r="T124" i="7" s="1"/>
  <c r="S125" i="7"/>
  <c r="T125" i="7" s="1"/>
  <c r="S126" i="7"/>
  <c r="T126" i="7" s="1"/>
  <c r="S127" i="7"/>
  <c r="S128" i="7"/>
  <c r="T128" i="7" s="1"/>
  <c r="S129" i="7"/>
  <c r="T129" i="7" s="1"/>
  <c r="S130" i="7"/>
  <c r="T130" i="7" s="1"/>
  <c r="S131" i="7"/>
  <c r="T131" i="7" s="1"/>
  <c r="S132" i="7"/>
  <c r="T132" i="7" s="1"/>
  <c r="S133" i="7"/>
  <c r="S12" i="7"/>
  <c r="T12" i="7" s="1"/>
  <c r="AG4" i="6" l="1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106" i="6"/>
  <c r="AF107" i="6"/>
  <c r="AF108" i="6"/>
  <c r="AF109" i="6"/>
  <c r="AF110" i="6"/>
  <c r="AF111" i="6"/>
  <c r="AF112" i="6"/>
  <c r="AF113" i="6"/>
  <c r="AF114" i="6"/>
  <c r="AF115" i="6"/>
  <c r="AF116" i="6"/>
  <c r="AF117" i="6"/>
  <c r="AF118" i="6"/>
  <c r="AF119" i="6"/>
  <c r="AF120" i="6"/>
  <c r="AF121" i="6"/>
  <c r="AF122" i="6"/>
  <c r="AF123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8" i="6"/>
  <c r="AE89" i="6"/>
  <c r="AE90" i="6"/>
  <c r="AE91" i="6"/>
  <c r="AE92" i="6"/>
  <c r="AE93" i="6"/>
  <c r="AE94" i="6"/>
  <c r="AE95" i="6"/>
  <c r="AE96" i="6"/>
  <c r="AE97" i="6"/>
  <c r="AE98" i="6"/>
  <c r="AE99" i="6"/>
  <c r="AE100" i="6"/>
  <c r="AE101" i="6"/>
  <c r="AE102" i="6"/>
  <c r="AE103" i="6"/>
  <c r="AE104" i="6"/>
  <c r="AE105" i="6"/>
  <c r="AE106" i="6"/>
  <c r="AE107" i="6"/>
  <c r="AE108" i="6"/>
  <c r="AE109" i="6"/>
  <c r="AE110" i="6"/>
  <c r="AE111" i="6"/>
  <c r="AE112" i="6"/>
  <c r="AE113" i="6"/>
  <c r="AE114" i="6"/>
  <c r="AE115" i="6"/>
  <c r="AE116" i="6"/>
  <c r="AE117" i="6"/>
  <c r="AE118" i="6"/>
  <c r="AE119" i="6"/>
  <c r="AE120" i="6"/>
  <c r="AE121" i="6"/>
  <c r="AE122" i="6"/>
  <c r="AE123" i="6"/>
  <c r="AE4" i="6"/>
  <c r="AF4" i="6" s="1"/>
  <c r="Q5" i="6"/>
  <c r="Q6" i="6"/>
  <c r="Q7" i="6"/>
  <c r="Q8" i="6"/>
  <c r="Q9" i="6"/>
  <c r="Q10" i="6"/>
  <c r="R10" i="6" s="1"/>
  <c r="Q11" i="6"/>
  <c r="Q12" i="6"/>
  <c r="Q13" i="6"/>
  <c r="Q14" i="6"/>
  <c r="Q15" i="6"/>
  <c r="Q16" i="6"/>
  <c r="Q17" i="6"/>
  <c r="Q18" i="6"/>
  <c r="Q19" i="6"/>
  <c r="Q20" i="6"/>
  <c r="Q21" i="6"/>
  <c r="Q22" i="6"/>
  <c r="R22" i="6" s="1"/>
  <c r="Q23" i="6"/>
  <c r="Q24" i="6"/>
  <c r="Q25" i="6"/>
  <c r="Q26" i="6"/>
  <c r="Q27" i="6"/>
  <c r="Q28" i="6"/>
  <c r="R28" i="6" s="1"/>
  <c r="Q29" i="6"/>
  <c r="Q30" i="6"/>
  <c r="Q31" i="6"/>
  <c r="Q32" i="6"/>
  <c r="Q33" i="6"/>
  <c r="Q34" i="6"/>
  <c r="R34" i="6" s="1"/>
  <c r="Q35" i="6"/>
  <c r="Q36" i="6"/>
  <c r="Q37" i="6"/>
  <c r="Q38" i="6"/>
  <c r="Q39" i="6"/>
  <c r="Q40" i="6"/>
  <c r="R40" i="6" s="1"/>
  <c r="Q41" i="6"/>
  <c r="Q42" i="6"/>
  <c r="Q43" i="6"/>
  <c r="Q44" i="6"/>
  <c r="Q45" i="6"/>
  <c r="Q46" i="6"/>
  <c r="R46" i="6" s="1"/>
  <c r="Q47" i="6"/>
  <c r="Q48" i="6"/>
  <c r="Q49" i="6"/>
  <c r="Q50" i="6"/>
  <c r="Q51" i="6"/>
  <c r="Q52" i="6"/>
  <c r="Q53" i="6"/>
  <c r="Q54" i="6"/>
  <c r="Q55" i="6"/>
  <c r="Q56" i="6"/>
  <c r="Q57" i="6"/>
  <c r="Q58" i="6"/>
  <c r="R58" i="6" s="1"/>
  <c r="Q59" i="6"/>
  <c r="Q60" i="6"/>
  <c r="Q61" i="6"/>
  <c r="Q62" i="6"/>
  <c r="Q63" i="6"/>
  <c r="Q64" i="6"/>
  <c r="R64" i="6" s="1"/>
  <c r="Q65" i="6"/>
  <c r="Q66" i="6"/>
  <c r="Q67" i="6"/>
  <c r="Q68" i="6"/>
  <c r="Q69" i="6"/>
  <c r="Q70" i="6"/>
  <c r="R70" i="6" s="1"/>
  <c r="Q71" i="6"/>
  <c r="Q72" i="6"/>
  <c r="Q73" i="6"/>
  <c r="Q74" i="6"/>
  <c r="Q75" i="6"/>
  <c r="Q76" i="6"/>
  <c r="R76" i="6" s="1"/>
  <c r="Q77" i="6"/>
  <c r="Q78" i="6"/>
  <c r="Q79" i="6"/>
  <c r="Q80" i="6"/>
  <c r="Q81" i="6"/>
  <c r="Q82" i="6"/>
  <c r="R82" i="6" s="1"/>
  <c r="Q83" i="6"/>
  <c r="Q84" i="6"/>
  <c r="Q85" i="6"/>
  <c r="Q86" i="6"/>
  <c r="Q87" i="6"/>
  <c r="Q88" i="6"/>
  <c r="R88" i="6" s="1"/>
  <c r="Q89" i="6"/>
  <c r="Q90" i="6"/>
  <c r="Q91" i="6"/>
  <c r="Q92" i="6"/>
  <c r="Q93" i="6"/>
  <c r="Q94" i="6"/>
  <c r="R94" i="6" s="1"/>
  <c r="Q95" i="6"/>
  <c r="Q96" i="6"/>
  <c r="Q97" i="6"/>
  <c r="Q98" i="6"/>
  <c r="Q99" i="6"/>
  <c r="Q100" i="6"/>
  <c r="R100" i="6" s="1"/>
  <c r="Q101" i="6"/>
  <c r="Q102" i="6"/>
  <c r="Q103" i="6"/>
  <c r="Q104" i="6"/>
  <c r="Q105" i="6"/>
  <c r="Q106" i="6"/>
  <c r="R106" i="6" s="1"/>
  <c r="Q107" i="6"/>
  <c r="Q108" i="6"/>
  <c r="Q109" i="6"/>
  <c r="Q110" i="6"/>
  <c r="Q111" i="6"/>
  <c r="Q112" i="6"/>
  <c r="R112" i="6" s="1"/>
  <c r="Q113" i="6"/>
  <c r="Q114" i="6"/>
  <c r="Q115" i="6"/>
  <c r="Q116" i="6"/>
  <c r="Q117" i="6"/>
  <c r="Q118" i="6"/>
  <c r="R118" i="6" s="1"/>
  <c r="Q119" i="6"/>
  <c r="Q120" i="6"/>
  <c r="Q121" i="6"/>
  <c r="Q122" i="6"/>
  <c r="Q123" i="6"/>
  <c r="Q124" i="6"/>
  <c r="R124" i="6" s="1"/>
  <c r="Q125" i="6"/>
  <c r="Q126" i="6"/>
  <c r="Q127" i="6"/>
  <c r="Q128" i="6"/>
  <c r="Q129" i="6"/>
  <c r="Q130" i="6"/>
  <c r="R130" i="6" s="1"/>
  <c r="Q131" i="6"/>
  <c r="Q132" i="6"/>
  <c r="Q133" i="6"/>
  <c r="Q134" i="6"/>
  <c r="Q135" i="6"/>
  <c r="Q136" i="6"/>
  <c r="R136" i="6" s="1"/>
  <c r="Q137" i="6"/>
  <c r="Q138" i="6"/>
  <c r="Q139" i="6"/>
  <c r="Q140" i="6"/>
  <c r="R140" i="6" s="1"/>
  <c r="Q141" i="6"/>
  <c r="Q142" i="6"/>
  <c r="R142" i="6" s="1"/>
  <c r="Q143" i="6"/>
  <c r="Q144" i="6"/>
  <c r="Q145" i="6"/>
  <c r="Q146" i="6"/>
  <c r="Q147" i="6"/>
  <c r="Q148" i="6"/>
  <c r="Q149" i="6"/>
  <c r="Q150" i="6"/>
  <c r="Q151" i="6"/>
  <c r="Q152" i="6"/>
  <c r="Q153" i="6"/>
  <c r="Q154" i="6"/>
  <c r="R154" i="6" s="1"/>
  <c r="Q155" i="6"/>
  <c r="Q156" i="6"/>
  <c r="Q157" i="6"/>
  <c r="Q158" i="6"/>
  <c r="Q159" i="6"/>
  <c r="Q160" i="6"/>
  <c r="R160" i="6" s="1"/>
  <c r="Q161" i="6"/>
  <c r="Q162" i="6"/>
  <c r="Q163" i="6"/>
  <c r="Q164" i="6"/>
  <c r="R164" i="6" s="1"/>
  <c r="Q165" i="6"/>
  <c r="Q166" i="6"/>
  <c r="R166" i="6" s="1"/>
  <c r="Q167" i="6"/>
  <c r="Q168" i="6"/>
  <c r="Q169" i="6"/>
  <c r="Q170" i="6"/>
  <c r="R170" i="6" s="1"/>
  <c r="Q171" i="6"/>
  <c r="Q172" i="6"/>
  <c r="R172" i="6" s="1"/>
  <c r="Q173" i="6"/>
  <c r="Q174" i="6"/>
  <c r="Q175" i="6"/>
  <c r="Q176" i="6"/>
  <c r="R176" i="6" s="1"/>
  <c r="Q177" i="6"/>
  <c r="Q178" i="6"/>
  <c r="R178" i="6" s="1"/>
  <c r="Q179" i="6"/>
  <c r="Q180" i="6"/>
  <c r="Q181" i="6"/>
  <c r="Q182" i="6"/>
  <c r="Q183" i="6"/>
  <c r="Q184" i="6"/>
  <c r="R184" i="6" s="1"/>
  <c r="Q185" i="6"/>
  <c r="Q186" i="6"/>
  <c r="Q187" i="6"/>
  <c r="Q188" i="6"/>
  <c r="Q189" i="6"/>
  <c r="Q190" i="6"/>
  <c r="Q191" i="6"/>
  <c r="Q192" i="6"/>
  <c r="Q193" i="6"/>
  <c r="Q194" i="6"/>
  <c r="R194" i="6" s="1"/>
  <c r="Q195" i="6"/>
  <c r="Q196" i="6"/>
  <c r="R196" i="6" s="1"/>
  <c r="Q197" i="6"/>
  <c r="Q198" i="6"/>
  <c r="Q4" i="6"/>
  <c r="R6" i="6"/>
  <c r="R16" i="6"/>
  <c r="R52" i="6"/>
  <c r="R146" i="6"/>
  <c r="R152" i="6"/>
  <c r="R158" i="6"/>
  <c r="R182" i="6"/>
  <c r="R188" i="6"/>
  <c r="R190" i="6"/>
  <c r="R5" i="6"/>
  <c r="R7" i="6"/>
  <c r="R8" i="6"/>
  <c r="R9" i="6"/>
  <c r="R11" i="6"/>
  <c r="R12" i="6"/>
  <c r="R13" i="6"/>
  <c r="R14" i="6"/>
  <c r="R15" i="6"/>
  <c r="R17" i="6"/>
  <c r="R18" i="6"/>
  <c r="R19" i="6"/>
  <c r="R20" i="6"/>
  <c r="R21" i="6"/>
  <c r="R23" i="6"/>
  <c r="R24" i="6"/>
  <c r="R25" i="6"/>
  <c r="R26" i="6"/>
  <c r="R27" i="6"/>
  <c r="R29" i="6"/>
  <c r="R30" i="6"/>
  <c r="R31" i="6"/>
  <c r="R32" i="6"/>
  <c r="R33" i="6"/>
  <c r="R35" i="6"/>
  <c r="R36" i="6"/>
  <c r="R37" i="6"/>
  <c r="R38" i="6"/>
  <c r="R39" i="6"/>
  <c r="R41" i="6"/>
  <c r="R42" i="6"/>
  <c r="R43" i="6"/>
  <c r="R44" i="6"/>
  <c r="R45" i="6"/>
  <c r="R47" i="6"/>
  <c r="R48" i="6"/>
  <c r="R49" i="6"/>
  <c r="R50" i="6"/>
  <c r="R51" i="6"/>
  <c r="R53" i="6"/>
  <c r="R54" i="6"/>
  <c r="R55" i="6"/>
  <c r="R56" i="6"/>
  <c r="R57" i="6"/>
  <c r="R59" i="6"/>
  <c r="R60" i="6"/>
  <c r="R61" i="6"/>
  <c r="R62" i="6"/>
  <c r="R63" i="6"/>
  <c r="R65" i="6"/>
  <c r="R66" i="6"/>
  <c r="R67" i="6"/>
  <c r="R68" i="6"/>
  <c r="R69" i="6"/>
  <c r="R71" i="6"/>
  <c r="R72" i="6"/>
  <c r="R73" i="6"/>
  <c r="R74" i="6"/>
  <c r="R75" i="6"/>
  <c r="R77" i="6"/>
  <c r="R78" i="6"/>
  <c r="R79" i="6"/>
  <c r="R80" i="6"/>
  <c r="R81" i="6"/>
  <c r="R83" i="6"/>
  <c r="R84" i="6"/>
  <c r="R85" i="6"/>
  <c r="R86" i="6"/>
  <c r="R87" i="6"/>
  <c r="R89" i="6"/>
  <c r="R90" i="6"/>
  <c r="R91" i="6"/>
  <c r="R92" i="6"/>
  <c r="R93" i="6"/>
  <c r="R95" i="6"/>
  <c r="R96" i="6"/>
  <c r="R97" i="6"/>
  <c r="R98" i="6"/>
  <c r="R99" i="6"/>
  <c r="R101" i="6"/>
  <c r="R102" i="6"/>
  <c r="R103" i="6"/>
  <c r="R104" i="6"/>
  <c r="R105" i="6"/>
  <c r="R107" i="6"/>
  <c r="R108" i="6"/>
  <c r="R109" i="6"/>
  <c r="R110" i="6"/>
  <c r="R111" i="6"/>
  <c r="R113" i="6"/>
  <c r="R114" i="6"/>
  <c r="R115" i="6"/>
  <c r="R116" i="6"/>
  <c r="R117" i="6"/>
  <c r="R119" i="6"/>
  <c r="R120" i="6"/>
  <c r="R121" i="6"/>
  <c r="R122" i="6"/>
  <c r="R123" i="6"/>
  <c r="R125" i="6"/>
  <c r="R126" i="6"/>
  <c r="R127" i="6"/>
  <c r="R128" i="6"/>
  <c r="R129" i="6"/>
  <c r="R131" i="6"/>
  <c r="R132" i="6"/>
  <c r="R133" i="6"/>
  <c r="R134" i="6"/>
  <c r="R135" i="6"/>
  <c r="R137" i="6"/>
  <c r="R138" i="6"/>
  <c r="R139" i="6"/>
  <c r="R141" i="6"/>
  <c r="R143" i="6"/>
  <c r="R144" i="6"/>
  <c r="R145" i="6"/>
  <c r="R147" i="6"/>
  <c r="R148" i="6"/>
  <c r="R149" i="6"/>
  <c r="R150" i="6"/>
  <c r="R151" i="6"/>
  <c r="R153" i="6"/>
  <c r="R155" i="6"/>
  <c r="R156" i="6"/>
  <c r="R157" i="6"/>
  <c r="R159" i="6"/>
  <c r="R161" i="6"/>
  <c r="R162" i="6"/>
  <c r="R163" i="6"/>
  <c r="R165" i="6"/>
  <c r="R167" i="6"/>
  <c r="R168" i="6"/>
  <c r="R169" i="6"/>
  <c r="R171" i="6"/>
  <c r="R173" i="6"/>
  <c r="R174" i="6"/>
  <c r="R175" i="6"/>
  <c r="R177" i="6"/>
  <c r="R179" i="6"/>
  <c r="R180" i="6"/>
  <c r="R181" i="6"/>
  <c r="R183" i="6"/>
  <c r="R185" i="6"/>
  <c r="R186" i="6"/>
  <c r="R187" i="6"/>
  <c r="R189" i="6"/>
  <c r="R191" i="6"/>
  <c r="R192" i="6"/>
  <c r="R193" i="6"/>
  <c r="R195" i="6"/>
  <c r="R197" i="6"/>
  <c r="R198" i="6"/>
  <c r="R4" i="6"/>
  <c r="S4" i="6" s="1"/>
  <c r="E30" i="6" l="1"/>
  <c r="F30" i="6" s="1"/>
  <c r="E29" i="6"/>
  <c r="F29" i="6" s="1"/>
  <c r="E28" i="6"/>
  <c r="F28" i="6" s="1"/>
  <c r="E27" i="6"/>
  <c r="F27" i="6" s="1"/>
  <c r="E26" i="6"/>
  <c r="F26" i="6" s="1"/>
  <c r="E25" i="6"/>
  <c r="F25" i="6" s="1"/>
  <c r="E24" i="6"/>
  <c r="F24" i="6" s="1"/>
  <c r="P28" i="8" l="1"/>
  <c r="Q28" i="8" s="1"/>
  <c r="P27" i="8"/>
  <c r="Q27" i="8" s="1"/>
  <c r="P26" i="8"/>
  <c r="Q26" i="8" s="1"/>
  <c r="P25" i="8"/>
  <c r="Q25" i="8" s="1"/>
  <c r="P24" i="8"/>
  <c r="Q24" i="8" s="1"/>
  <c r="P23" i="8"/>
  <c r="Q23" i="8" s="1"/>
  <c r="U19" i="8"/>
  <c r="V19" i="8" s="1"/>
  <c r="U18" i="8"/>
  <c r="V18" i="8" s="1"/>
  <c r="U17" i="8"/>
  <c r="V17" i="8" s="1"/>
  <c r="U16" i="8"/>
  <c r="V16" i="8" s="1"/>
  <c r="U15" i="8"/>
  <c r="V15" i="8" s="1"/>
  <c r="U14" i="8"/>
  <c r="V14" i="8" s="1"/>
  <c r="P19" i="8"/>
  <c r="Q19" i="8" s="1"/>
  <c r="P18" i="8"/>
  <c r="Q18" i="8" s="1"/>
  <c r="P17" i="8"/>
  <c r="Q17" i="8" s="1"/>
  <c r="P16" i="8"/>
  <c r="Q16" i="8" s="1"/>
  <c r="P15" i="8"/>
  <c r="Q15" i="8" s="1"/>
  <c r="P14" i="8"/>
  <c r="Q14" i="8" s="1"/>
  <c r="U10" i="8"/>
  <c r="V10" i="8" s="1"/>
  <c r="U9" i="8"/>
  <c r="V9" i="8" s="1"/>
  <c r="U8" i="8"/>
  <c r="V8" i="8" s="1"/>
  <c r="U7" i="8"/>
  <c r="V7" i="8" s="1"/>
  <c r="U6" i="8"/>
  <c r="V6" i="8" s="1"/>
  <c r="U5" i="8"/>
  <c r="V5" i="8" s="1"/>
  <c r="P10" i="8"/>
  <c r="Q10" i="8" s="1"/>
  <c r="P9" i="8"/>
  <c r="Q9" i="8" s="1"/>
  <c r="P8" i="8"/>
  <c r="Q8" i="8" s="1"/>
  <c r="P7" i="8"/>
  <c r="Q7" i="8" s="1"/>
  <c r="P6" i="8"/>
  <c r="Q6" i="8" s="1"/>
  <c r="P5" i="8"/>
  <c r="Q5" i="8" s="1"/>
  <c r="E29" i="8"/>
  <c r="F29" i="8" s="1"/>
  <c r="E28" i="8"/>
  <c r="F28" i="8" s="1"/>
  <c r="E27" i="8"/>
  <c r="F27" i="8" s="1"/>
  <c r="E26" i="8"/>
  <c r="F26" i="8" s="1"/>
  <c r="E25" i="8"/>
  <c r="F25" i="8" s="1"/>
  <c r="E24" i="8"/>
  <c r="F24" i="8" s="1"/>
  <c r="K20" i="8"/>
  <c r="J20" i="8"/>
  <c r="J19" i="8"/>
  <c r="K19" i="8" s="1"/>
  <c r="J18" i="8"/>
  <c r="K18" i="8" s="1"/>
  <c r="J17" i="8"/>
  <c r="K17" i="8" s="1"/>
  <c r="J16" i="8"/>
  <c r="K16" i="8" s="1"/>
  <c r="J15" i="8"/>
  <c r="K15" i="8" s="1"/>
  <c r="J14" i="8"/>
  <c r="K14" i="8" s="1"/>
  <c r="E19" i="8"/>
  <c r="F19" i="8" s="1"/>
  <c r="E18" i="8"/>
  <c r="F18" i="8" s="1"/>
  <c r="E17" i="8"/>
  <c r="F17" i="8" s="1"/>
  <c r="E16" i="8"/>
  <c r="F16" i="8" s="1"/>
  <c r="E15" i="8"/>
  <c r="F15" i="8" s="1"/>
  <c r="E14" i="8"/>
  <c r="F14" i="8" s="1"/>
  <c r="J10" i="8"/>
  <c r="K10" i="8" s="1"/>
  <c r="J9" i="8"/>
  <c r="K9" i="8" s="1"/>
  <c r="J8" i="8"/>
  <c r="K8" i="8" s="1"/>
  <c r="J7" i="8"/>
  <c r="K7" i="8" s="1"/>
  <c r="J6" i="8"/>
  <c r="K6" i="8" s="1"/>
  <c r="J5" i="8"/>
  <c r="K5" i="8" s="1"/>
  <c r="E10" i="8"/>
  <c r="F10" i="8" s="1"/>
  <c r="E9" i="8"/>
  <c r="F9" i="8" s="1"/>
  <c r="E8" i="8"/>
  <c r="F8" i="8" s="1"/>
  <c r="E7" i="8"/>
  <c r="F7" i="8" s="1"/>
  <c r="E6" i="8"/>
  <c r="F6" i="8" s="1"/>
  <c r="E5" i="8"/>
  <c r="F5" i="8" s="1"/>
  <c r="E31" i="7"/>
  <c r="F31" i="7" s="1"/>
  <c r="E30" i="7"/>
  <c r="F30" i="7" s="1"/>
  <c r="E29" i="7"/>
  <c r="F29" i="7" s="1"/>
  <c r="E28" i="7"/>
  <c r="F28" i="7" s="1"/>
  <c r="E27" i="7"/>
  <c r="F27" i="7" s="1"/>
  <c r="E26" i="7"/>
  <c r="F26" i="7" s="1"/>
  <c r="E25" i="7"/>
  <c r="F25" i="7" s="1"/>
  <c r="J20" i="7"/>
  <c r="K20" i="7" s="1"/>
  <c r="J19" i="7"/>
  <c r="K19" i="7" s="1"/>
  <c r="J18" i="7"/>
  <c r="K18" i="7" s="1"/>
  <c r="J17" i="7"/>
  <c r="K17" i="7" s="1"/>
  <c r="J16" i="7"/>
  <c r="K16" i="7" s="1"/>
  <c r="J15" i="7"/>
  <c r="K15" i="7" s="1"/>
  <c r="E21" i="7"/>
  <c r="F21" i="7" s="1"/>
  <c r="F20" i="7"/>
  <c r="E20" i="7"/>
  <c r="E19" i="7"/>
  <c r="F19" i="7" s="1"/>
  <c r="E18" i="7"/>
  <c r="F18" i="7" s="1"/>
  <c r="E17" i="7"/>
  <c r="F17" i="7" s="1"/>
  <c r="E16" i="7"/>
  <c r="F16" i="7" s="1"/>
  <c r="E15" i="7"/>
  <c r="F15" i="7" s="1"/>
  <c r="J11" i="7"/>
  <c r="K11" i="7" s="1"/>
  <c r="J10" i="7"/>
  <c r="K10" i="7" s="1"/>
  <c r="J9" i="7"/>
  <c r="K9" i="7" s="1"/>
  <c r="J8" i="7"/>
  <c r="K8" i="7" s="1"/>
  <c r="J7" i="7"/>
  <c r="K7" i="7" s="1"/>
  <c r="J6" i="7"/>
  <c r="K6" i="7" s="1"/>
  <c r="E10" i="7"/>
  <c r="F10" i="7" s="1"/>
  <c r="E9" i="7"/>
  <c r="F9" i="7" s="1"/>
  <c r="E8" i="7"/>
  <c r="F8" i="7" s="1"/>
  <c r="E7" i="7"/>
  <c r="F7" i="7" s="1"/>
  <c r="E6" i="7"/>
  <c r="F6" i="7" s="1"/>
  <c r="J20" i="6"/>
  <c r="K20" i="6" s="1"/>
  <c r="J19" i="6"/>
  <c r="K19" i="6" s="1"/>
  <c r="J18" i="6"/>
  <c r="K18" i="6" s="1"/>
  <c r="J17" i="6"/>
  <c r="K17" i="6" s="1"/>
  <c r="J16" i="6"/>
  <c r="K16" i="6" s="1"/>
  <c r="J15" i="6"/>
  <c r="K15" i="6" s="1"/>
  <c r="J14" i="6"/>
  <c r="K14" i="6" s="1"/>
  <c r="E20" i="6"/>
  <c r="F20" i="6" s="1"/>
  <c r="E19" i="6"/>
  <c r="F19" i="6" s="1"/>
  <c r="E18" i="6"/>
  <c r="F18" i="6" s="1"/>
  <c r="E17" i="6"/>
  <c r="F17" i="6" s="1"/>
  <c r="E16" i="6"/>
  <c r="F16" i="6" s="1"/>
  <c r="E15" i="6"/>
  <c r="F15" i="6" s="1"/>
  <c r="E14" i="6"/>
  <c r="F14" i="6" s="1"/>
  <c r="K10" i="6"/>
  <c r="J10" i="6"/>
  <c r="J9" i="6"/>
  <c r="K9" i="6" s="1"/>
  <c r="J8" i="6"/>
  <c r="K8" i="6" s="1"/>
  <c r="J7" i="6"/>
  <c r="K7" i="6" s="1"/>
  <c r="J6" i="6"/>
  <c r="K6" i="6" s="1"/>
  <c r="J5" i="6"/>
  <c r="K5" i="6" s="1"/>
  <c r="E10" i="6"/>
  <c r="F10" i="6" s="1"/>
  <c r="F9" i="6"/>
  <c r="E9" i="6"/>
  <c r="E8" i="6"/>
  <c r="F8" i="6" s="1"/>
  <c r="E7" i="6"/>
  <c r="F7" i="6" s="1"/>
  <c r="E6" i="6"/>
  <c r="F6" i="6" s="1"/>
  <c r="E5" i="6"/>
  <c r="F5" i="6" s="1"/>
  <c r="N40" i="1"/>
  <c r="N41" i="1"/>
  <c r="N42" i="1"/>
  <c r="N43" i="1"/>
  <c r="N44" i="1"/>
  <c r="N39" i="1"/>
  <c r="L29" i="1"/>
  <c r="H29" i="1"/>
  <c r="I29" i="1" s="1"/>
  <c r="H30" i="1"/>
  <c r="I30" i="1" s="1"/>
  <c r="H31" i="1"/>
  <c r="H32" i="1"/>
  <c r="H33" i="1"/>
  <c r="I33" i="1" s="1"/>
  <c r="H34" i="1"/>
  <c r="I34" i="1" s="1"/>
  <c r="H35" i="1"/>
  <c r="H28" i="1"/>
  <c r="I28" i="1" s="1"/>
  <c r="E39" i="1"/>
  <c r="E29" i="1"/>
  <c r="E30" i="1"/>
  <c r="E31" i="1"/>
  <c r="E32" i="1"/>
  <c r="E33" i="1"/>
  <c r="E34" i="1"/>
  <c r="E35" i="1"/>
  <c r="E36" i="1"/>
  <c r="E37" i="1"/>
  <c r="E38" i="1"/>
  <c r="E40" i="1"/>
  <c r="D41" i="1"/>
  <c r="E41" i="1" s="1"/>
  <c r="D40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D30" i="1"/>
  <c r="D31" i="1"/>
  <c r="D32" i="1"/>
  <c r="D33" i="1"/>
  <c r="D34" i="1"/>
  <c r="D35" i="1"/>
  <c r="D36" i="1"/>
  <c r="D37" i="1"/>
  <c r="D38" i="1"/>
  <c r="D39" i="1"/>
  <c r="D29" i="1"/>
  <c r="I31" i="1"/>
  <c r="M27" i="1"/>
  <c r="M28" i="1"/>
  <c r="L27" i="1"/>
  <c r="L26" i="1"/>
  <c r="M26" i="1" s="1"/>
  <c r="I35" i="1"/>
  <c r="L22" i="1"/>
  <c r="I32" i="1"/>
  <c r="N26" i="1" l="1"/>
  <c r="M22" i="1" s="1"/>
  <c r="N22" i="1" s="1"/>
</calcChain>
</file>

<file path=xl/sharedStrings.xml><?xml version="1.0" encoding="utf-8"?>
<sst xmlns="http://schemas.openxmlformats.org/spreadsheetml/2006/main" count="153" uniqueCount="40">
  <si>
    <t>Sample 6</t>
  </si>
  <si>
    <t>H</t>
  </si>
  <si>
    <t>B</t>
  </si>
  <si>
    <t>B.H</t>
  </si>
  <si>
    <t>BHmax</t>
  </si>
  <si>
    <t>Sample 2 - 251°C-30s</t>
  </si>
  <si>
    <t>Sample 3 - 300°C-30s</t>
  </si>
  <si>
    <t>Sample 5 - 500°C-30s</t>
  </si>
  <si>
    <t>Sample 4 - 400°C-30s</t>
  </si>
  <si>
    <t>Sample 8 - 251°C-120s</t>
  </si>
  <si>
    <t>Sample 9 - 300°C-120s</t>
  </si>
  <si>
    <t>Sample 10 - 400°C-120s</t>
  </si>
  <si>
    <t>Sample 11 - 500°C-120s</t>
  </si>
  <si>
    <t>Sample 12 - 600°C-120s</t>
  </si>
  <si>
    <t>Sample 6 - 600°C-30s</t>
  </si>
  <si>
    <t>Sample</t>
  </si>
  <si>
    <t>Hcj (kA/m)</t>
  </si>
  <si>
    <t>Jr (T)</t>
  </si>
  <si>
    <t>BHmax (kJ/m3)</t>
  </si>
  <si>
    <t>251°C-30s-Center</t>
  </si>
  <si>
    <t>251°C-30s-Edge</t>
  </si>
  <si>
    <t>300°C-30s-Center</t>
  </si>
  <si>
    <t>300°C-30s-Edge</t>
  </si>
  <si>
    <t>400°C-30s-Center</t>
  </si>
  <si>
    <t>400°C-30s-Edge</t>
  </si>
  <si>
    <t>500°C-30s-Center</t>
  </si>
  <si>
    <t>500°C-30s-Edge</t>
  </si>
  <si>
    <t>600°C-30s-Center</t>
  </si>
  <si>
    <t>600°C-30s-Edge</t>
  </si>
  <si>
    <t>251°C-120s-Center</t>
  </si>
  <si>
    <t>251°C-120s-Edge</t>
  </si>
  <si>
    <t>300°C-120s-Center</t>
  </si>
  <si>
    <t>300°C-120s-Edge</t>
  </si>
  <si>
    <t>400°C-120s-Center</t>
  </si>
  <si>
    <t>400°C-120s-Edge</t>
  </si>
  <si>
    <t>500°C-120s-Center</t>
  </si>
  <si>
    <t>500°C-120s-Edge</t>
  </si>
  <si>
    <t>600°C-120s-Center</t>
  </si>
  <si>
    <t>600°C-120s-Edge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</si>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</sst>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3" borderId="6" xfId="0" applyFont="1" applyFill="1" applyBorder="1"/>
    <xf numFmtId="0" fontId="2" fillId="0" borderId="6" xfId="0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1" fontId="0" fillId="0" borderId="0" xfId="0" applyNumberFormat="1"/>
    <xf numFmtId="0" fontId="0" fillId="2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'Need updates Sample 6 30s-600°C'!$G$28:$G$33</c:f>
              <c:numCache>
                <c:formatCode>General</c:formatCode>
                <c:ptCount val="6"/>
                <c:pt idx="0">
                  <c:v>1.4241699999999999</c:v>
                </c:pt>
                <c:pt idx="1">
                  <c:v>1.21878</c:v>
                </c:pt>
                <c:pt idx="2">
                  <c:v>1.0081199999999999</c:v>
                </c:pt>
                <c:pt idx="3">
                  <c:v>0.79627999999999999</c:v>
                </c:pt>
                <c:pt idx="4">
                  <c:v>0.58309999999999995</c:v>
                </c:pt>
                <c:pt idx="5">
                  <c:v>0.34938999999999998</c:v>
                </c:pt>
              </c:numCache>
            </c:numRef>
          </c:xVal>
          <c:yVal>
            <c:numRef>
              <c:f>'Need updates Sample 6 30s-600°C'!$I$28:$I$33</c:f>
              <c:numCache>
                <c:formatCode>General</c:formatCode>
                <c:ptCount val="6"/>
                <c:pt idx="0">
                  <c:v>7826.0299558352253</c:v>
                </c:pt>
                <c:pt idx="1">
                  <c:v>44578.96190444001</c:v>
                </c:pt>
                <c:pt idx="2">
                  <c:v>67843.193740687973</c:v>
                </c:pt>
                <c:pt idx="3">
                  <c:v>77989.974381089341</c:v>
                </c:pt>
                <c:pt idx="4">
                  <c:v>74930.788188852544</c:v>
                </c:pt>
                <c:pt idx="5">
                  <c:v>55094.795082607619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7EA-40BA-A9E8-7583CDC99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751536"/>
        <c:axId val="1651760240"/>
      </c:scatterChart>
      <c:valAx>
        <c:axId val="165175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760240"/>
        <c:crosses val="autoZero"/>
        <c:crossBetween val="midCat"/>
      </c:valAx>
      <c:valAx>
        <c:axId val="165176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75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22860</xdr:colOff>
      <xdr:row>27</xdr:row>
      <xdr:rowOff>60960</xdr:rowOff>
    </xdr:from>
    <xdr:to>
      <xdr:col>22</xdr:col>
      <xdr:colOff>327660</xdr:colOff>
      <xdr:row>42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87711666-5AA0-788E-0FDE-66DB4C35F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S105"/>
  <sheetViews>
    <sheetView topLeftCell="A19" workbookViewId="0">
      <selection activeCell="E50" sqref="E50"/>
    </sheetView>
  </sheetViews>
  <sheetFormatPr defaultRowHeight="15" x14ac:dyDescent="0.25"/>
  <sheetData>
    <row r="3" spans="6:19" x14ac:dyDescent="0.25">
      <c r="F3" t="s">
        <v>0</v>
      </c>
    </row>
    <row r="4" spans="6:19" x14ac:dyDescent="0.25">
      <c r="F4" t="s">
        <v>1</v>
      </c>
      <c r="G4" t="s">
        <v>2</v>
      </c>
    </row>
    <row r="5" spans="6:19" x14ac:dyDescent="0.25">
      <c r="F5">
        <v>4.5412400000000002</v>
      </c>
      <c r="G5">
        <v>6.0801699999999999</v>
      </c>
    </row>
    <row r="6" spans="6:19" x14ac:dyDescent="0.25">
      <c r="F6">
        <v>4.34192</v>
      </c>
      <c r="G6">
        <v>5.8785999999999996</v>
      </c>
    </row>
    <row r="7" spans="6:19" x14ac:dyDescent="0.25">
      <c r="F7">
        <v>4.1424799999999999</v>
      </c>
      <c r="G7">
        <v>5.6772400000000003</v>
      </c>
    </row>
    <row r="8" spans="6:19" x14ac:dyDescent="0.25">
      <c r="F8">
        <v>3.9431400000000001</v>
      </c>
      <c r="G8">
        <v>5.4757199999999999</v>
      </c>
    </row>
    <row r="9" spans="6:19" x14ac:dyDescent="0.25">
      <c r="F9">
        <v>3.7435800000000001</v>
      </c>
      <c r="G9">
        <v>5.2746599999999999</v>
      </c>
    </row>
    <row r="10" spans="6:19" x14ac:dyDescent="0.25">
      <c r="F10">
        <v>3.5443699999999998</v>
      </c>
      <c r="G10">
        <v>5.0728099999999996</v>
      </c>
    </row>
    <row r="11" spans="6:19" x14ac:dyDescent="0.25">
      <c r="F11">
        <v>3.34524</v>
      </c>
      <c r="G11">
        <v>4.8707500000000001</v>
      </c>
    </row>
    <row r="12" spans="6:19" x14ac:dyDescent="0.25">
      <c r="F12">
        <v>3.1458699999999999</v>
      </c>
      <c r="G12">
        <v>4.66927</v>
      </c>
    </row>
    <row r="13" spans="6:19" x14ac:dyDescent="0.25">
      <c r="F13">
        <v>2.9469400000000001</v>
      </c>
      <c r="G13">
        <v>4.4667899999999996</v>
      </c>
    </row>
    <row r="14" spans="6:19" x14ac:dyDescent="0.25">
      <c r="F14">
        <v>2.74777</v>
      </c>
      <c r="G14">
        <v>4.2648400000000004</v>
      </c>
    </row>
    <row r="15" spans="6:19" x14ac:dyDescent="0.25">
      <c r="F15">
        <v>2.54867</v>
      </c>
      <c r="G15">
        <v>4.0627000000000004</v>
      </c>
      <c r="R15">
        <v>-5.47E-3</v>
      </c>
      <c r="S15">
        <v>1.4623699999999999</v>
      </c>
    </row>
    <row r="16" spans="6:19" x14ac:dyDescent="0.25">
      <c r="F16">
        <v>2.3494799999999998</v>
      </c>
      <c r="G16">
        <v>3.8607499999999999</v>
      </c>
      <c r="R16">
        <v>-0.11491</v>
      </c>
      <c r="S16">
        <v>1.34918</v>
      </c>
    </row>
    <row r="17" spans="2:19" x14ac:dyDescent="0.25">
      <c r="F17">
        <v>2.1505399999999999</v>
      </c>
      <c r="G17">
        <v>3.6583199999999998</v>
      </c>
      <c r="R17">
        <v>-0.22708999999999999</v>
      </c>
      <c r="S17">
        <v>1.2269399999999999</v>
      </c>
    </row>
    <row r="18" spans="2:19" x14ac:dyDescent="0.25">
      <c r="F18">
        <v>1.95163</v>
      </c>
      <c r="G18">
        <v>3.45574</v>
      </c>
      <c r="R18">
        <v>-0.35021000000000002</v>
      </c>
      <c r="S18">
        <v>1.1001700000000001</v>
      </c>
    </row>
    <row r="19" spans="2:19" x14ac:dyDescent="0.25">
      <c r="F19">
        <v>1.75257</v>
      </c>
      <c r="G19">
        <v>3.25353</v>
      </c>
      <c r="R19">
        <v>-0.47605999999999998</v>
      </c>
      <c r="S19">
        <v>0.95528999999999997</v>
      </c>
    </row>
    <row r="20" spans="2:19" x14ac:dyDescent="0.25">
      <c r="F20">
        <v>1.5536399999999999</v>
      </c>
      <c r="G20">
        <v>3.05098</v>
      </c>
      <c r="R20">
        <v>-0.60465000000000002</v>
      </c>
      <c r="S20">
        <v>0.81040999999999996</v>
      </c>
    </row>
    <row r="21" spans="2:19" x14ac:dyDescent="0.25">
      <c r="F21">
        <v>1.3546199999999999</v>
      </c>
      <c r="G21">
        <v>2.8486899999999999</v>
      </c>
      <c r="R21">
        <v>-0.72230000000000005</v>
      </c>
      <c r="S21">
        <v>0.68364000000000003</v>
      </c>
    </row>
    <row r="22" spans="2:19" x14ac:dyDescent="0.25">
      <c r="F22">
        <v>1.1559600000000001</v>
      </c>
      <c r="G22">
        <v>2.6455199999999999</v>
      </c>
      <c r="K22">
        <v>1.42</v>
      </c>
      <c r="L22">
        <f>1.42*1.42</f>
        <v>2.0164</v>
      </c>
      <c r="M22">
        <f>L22*N26</f>
        <v>2.0164000000000002E-3</v>
      </c>
      <c r="N22">
        <f>M22/L22</f>
        <v>1E-3</v>
      </c>
      <c r="R22">
        <v>-0.84814999999999996</v>
      </c>
      <c r="S22">
        <v>0.55235000000000001</v>
      </c>
    </row>
    <row r="23" spans="2:19" x14ac:dyDescent="0.25">
      <c r="F23">
        <v>0.95706999999999998</v>
      </c>
      <c r="G23">
        <v>2.4428700000000001</v>
      </c>
      <c r="R23">
        <v>-0.96853999999999996</v>
      </c>
      <c r="S23">
        <v>0.37125000000000002</v>
      </c>
    </row>
    <row r="24" spans="2:19" x14ac:dyDescent="0.25">
      <c r="F24">
        <v>0.75836000000000003</v>
      </c>
      <c r="G24">
        <v>2.2398400000000001</v>
      </c>
      <c r="R24">
        <v>-1.03146</v>
      </c>
      <c r="S24">
        <v>0.17657</v>
      </c>
    </row>
    <row r="25" spans="2:19" x14ac:dyDescent="0.25">
      <c r="F25">
        <v>0.55991000000000002</v>
      </c>
      <c r="G25">
        <v>2.0361699999999998</v>
      </c>
      <c r="R25">
        <v>-1.0779799999999999</v>
      </c>
      <c r="S25">
        <v>-9.0500000000000008E-3</v>
      </c>
    </row>
    <row r="26" spans="2:19" x14ac:dyDescent="0.25">
      <c r="F26">
        <v>0.36132999999999998</v>
      </c>
      <c r="G26">
        <v>1.8328199999999999</v>
      </c>
      <c r="K26">
        <v>1.605</v>
      </c>
      <c r="L26">
        <f>(K26*K26)/(4*4*PI()*0.0000001)</f>
        <v>512483.89034787461</v>
      </c>
      <c r="M26">
        <f>L26/1000</f>
        <v>512.48389034787465</v>
      </c>
      <c r="N26">
        <f>M26/L26</f>
        <v>1E-3</v>
      </c>
    </row>
    <row r="27" spans="2:19" x14ac:dyDescent="0.25">
      <c r="F27">
        <v>0.16314000000000001</v>
      </c>
      <c r="G27">
        <v>1.62863</v>
      </c>
      <c r="K27">
        <v>1.42</v>
      </c>
      <c r="L27">
        <f>(K27*K27)/(4*4*PI()*0.0000001)</f>
        <v>401150.03406312218</v>
      </c>
      <c r="M27">
        <f t="shared" ref="M27:M28" si="0">L27/1000</f>
        <v>401.15003406312218</v>
      </c>
    </row>
    <row r="28" spans="2:19" x14ac:dyDescent="0.25">
      <c r="B28" t="s">
        <v>1</v>
      </c>
      <c r="C28" t="s">
        <v>2</v>
      </c>
      <c r="F28">
        <v>-3.4959999999999998E-2</v>
      </c>
      <c r="G28">
        <v>1.4241699999999999</v>
      </c>
      <c r="H28">
        <f>(ABS(G28*F28))/(4*PI()*0.0001)</f>
        <v>39.620813938996662</v>
      </c>
      <c r="I28">
        <f>H28*197.5232</f>
        <v>7826.0299558352253</v>
      </c>
      <c r="M28">
        <f t="shared" si="0"/>
        <v>0</v>
      </c>
    </row>
    <row r="29" spans="2:19" x14ac:dyDescent="0.25">
      <c r="B29">
        <v>-5.47E-3</v>
      </c>
      <c r="C29">
        <v>1.4623699999999999</v>
      </c>
      <c r="D29">
        <f>C29*B29</f>
        <v>-7.9991639E-3</v>
      </c>
      <c r="E29">
        <f t="shared" ref="E29:E39" si="1">ABS(D29)/(4*PI()*0.0001)</f>
        <v>6.3655323764362182</v>
      </c>
      <c r="F29">
        <v>-0.23269999999999999</v>
      </c>
      <c r="G29">
        <v>1.21878</v>
      </c>
      <c r="H29">
        <f t="shared" ref="H29:H35" si="2">(ABS(G29*F29))/(4*PI()*0.0001)</f>
        <v>225.68975140358202</v>
      </c>
      <c r="I29">
        <f t="shared" ref="I29:I35" si="3">H29*197.5232</f>
        <v>44578.96190444001</v>
      </c>
      <c r="K29">
        <v>0.80500000000000005</v>
      </c>
      <c r="L29">
        <f>K29*K29/(4*PI()*0.0001)</f>
        <v>515.6819099856275</v>
      </c>
    </row>
    <row r="30" spans="2:19" x14ac:dyDescent="0.25">
      <c r="B30">
        <v>-0.11491</v>
      </c>
      <c r="C30">
        <v>1.34918</v>
      </c>
      <c r="D30">
        <f t="shared" ref="D30:D41" si="4">C30*B30</f>
        <v>-0.15503427380000001</v>
      </c>
      <c r="E30">
        <f t="shared" si="1"/>
        <v>123.37235511966162</v>
      </c>
      <c r="F30">
        <v>-0.42814000000000002</v>
      </c>
      <c r="G30">
        <v>1.0081199999999999</v>
      </c>
      <c r="H30">
        <f t="shared" si="2"/>
        <v>343.4694949286361</v>
      </c>
      <c r="I30">
        <f t="shared" si="3"/>
        <v>67843.193740687973</v>
      </c>
    </row>
    <row r="31" spans="2:19" x14ac:dyDescent="0.25">
      <c r="B31">
        <v>-0.22708999999999999</v>
      </c>
      <c r="C31">
        <v>1.2269399999999999</v>
      </c>
      <c r="D31">
        <f t="shared" si="4"/>
        <v>-0.27862580459999997</v>
      </c>
      <c r="E31">
        <f t="shared" si="1"/>
        <v>221.72337037523275</v>
      </c>
      <c r="F31">
        <v>-0.62311000000000005</v>
      </c>
      <c r="G31">
        <v>0.79627999999999999</v>
      </c>
      <c r="H31">
        <f t="shared" si="2"/>
        <v>394.83956507938984</v>
      </c>
      <c r="I31">
        <f t="shared" si="3"/>
        <v>77989.974381089341</v>
      </c>
    </row>
    <row r="32" spans="2:19" x14ac:dyDescent="0.25">
      <c r="B32">
        <v>-0.35021000000000002</v>
      </c>
      <c r="C32">
        <v>1.1001700000000001</v>
      </c>
      <c r="D32">
        <f t="shared" si="4"/>
        <v>-0.38529053570000005</v>
      </c>
      <c r="E32">
        <f t="shared" si="1"/>
        <v>306.60446641589687</v>
      </c>
      <c r="F32">
        <v>-0.81754000000000004</v>
      </c>
      <c r="G32">
        <v>0.58309999999999995</v>
      </c>
      <c r="H32">
        <f t="shared" si="2"/>
        <v>379.35183405722739</v>
      </c>
      <c r="I32">
        <f t="shared" si="3"/>
        <v>74930.788188852544</v>
      </c>
    </row>
    <row r="33" spans="2:14" x14ac:dyDescent="0.25">
      <c r="B33">
        <v>-0.47605999999999998</v>
      </c>
      <c r="C33">
        <v>0.95528999999999997</v>
      </c>
      <c r="D33">
        <f t="shared" si="4"/>
        <v>-0.45477535739999997</v>
      </c>
      <c r="E33">
        <f t="shared" si="1"/>
        <v>361.89873063296682</v>
      </c>
      <c r="F33">
        <v>-1.0032099999999999</v>
      </c>
      <c r="G33">
        <v>0.34938999999999998</v>
      </c>
      <c r="H33">
        <f t="shared" si="2"/>
        <v>278.92822252073489</v>
      </c>
      <c r="I33">
        <f t="shared" si="3"/>
        <v>55094.795082607619</v>
      </c>
    </row>
    <row r="34" spans="2:14" x14ac:dyDescent="0.25">
      <c r="B34">
        <v>-0.60465000000000002</v>
      </c>
      <c r="C34">
        <v>0.81040999999999996</v>
      </c>
      <c r="D34">
        <f t="shared" si="4"/>
        <v>-0.4900144065</v>
      </c>
      <c r="E34">
        <f t="shared" si="1"/>
        <v>389.94107490358186</v>
      </c>
      <c r="F34">
        <v>-1.09674</v>
      </c>
      <c r="G34">
        <v>-0.10124</v>
      </c>
      <c r="H34">
        <f t="shared" si="2"/>
        <v>88.358016015479606</v>
      </c>
      <c r="I34">
        <f>H34*197.5232</f>
        <v>17452.758069028783</v>
      </c>
    </row>
    <row r="35" spans="2:14" x14ac:dyDescent="0.25">
      <c r="B35">
        <v>-0.72230000000000005</v>
      </c>
      <c r="C35">
        <v>0.68364000000000003</v>
      </c>
      <c r="D35">
        <f t="shared" si="4"/>
        <v>-0.49379317200000006</v>
      </c>
      <c r="E35">
        <f t="shared" si="1"/>
        <v>392.94812094413248</v>
      </c>
      <c r="F35">
        <v>-1.1460699999999999</v>
      </c>
      <c r="G35">
        <v>-0.65600999999999998</v>
      </c>
      <c r="H35">
        <f t="shared" si="2"/>
        <v>598.28999459947886</v>
      </c>
      <c r="I35">
        <f t="shared" si="3"/>
        <v>118176.15426127179</v>
      </c>
    </row>
    <row r="36" spans="2:14" x14ac:dyDescent="0.25">
      <c r="B36">
        <v>-0.84814999999999996</v>
      </c>
      <c r="C36">
        <v>0.55235000000000001</v>
      </c>
      <c r="D36">
        <f t="shared" si="4"/>
        <v>-0.46847565250000001</v>
      </c>
      <c r="E36">
        <f t="shared" si="1"/>
        <v>372.80107906788021</v>
      </c>
      <c r="F36">
        <v>-1.1686300000000001</v>
      </c>
      <c r="G36">
        <v>-1.2737499999999999</v>
      </c>
    </row>
    <row r="37" spans="2:14" x14ac:dyDescent="0.25">
      <c r="B37">
        <v>-0.96853999999999996</v>
      </c>
      <c r="C37">
        <v>0.37125000000000002</v>
      </c>
      <c r="D37">
        <f t="shared" si="4"/>
        <v>-0.359570475</v>
      </c>
      <c r="E37">
        <f t="shared" si="1"/>
        <v>286.13709243075391</v>
      </c>
      <c r="F37">
        <v>-1.19814</v>
      </c>
      <c r="G37">
        <v>-1.8751100000000001</v>
      </c>
    </row>
    <row r="38" spans="2:14" x14ac:dyDescent="0.25">
      <c r="B38">
        <v>-1.03146</v>
      </c>
      <c r="C38">
        <v>0.17657</v>
      </c>
      <c r="D38">
        <f t="shared" si="4"/>
        <v>-0.1821248922</v>
      </c>
      <c r="E38">
        <f>ABS(D38)/(4*PI()*0.0001)</f>
        <v>144.93038426854287</v>
      </c>
      <c r="F38">
        <v>-1.26606</v>
      </c>
      <c r="G38">
        <v>-2.3861500000000002</v>
      </c>
    </row>
    <row r="39" spans="2:14" x14ac:dyDescent="0.25">
      <c r="B39">
        <v>-1.0779799999999999</v>
      </c>
      <c r="C39">
        <v>-9.0500000000000008E-3</v>
      </c>
      <c r="D39">
        <f t="shared" si="4"/>
        <v>9.7557189999999995E-3</v>
      </c>
      <c r="E39">
        <f t="shared" si="1"/>
        <v>7.7633545113276101</v>
      </c>
      <c r="F39">
        <v>-1.3978200000000001</v>
      </c>
      <c r="G39">
        <v>-2.7467299999999999</v>
      </c>
      <c r="L39">
        <v>-3.4959999999999998E-2</v>
      </c>
      <c r="M39">
        <v>1.3562799999999999</v>
      </c>
      <c r="N39">
        <f>(ABS(M39*L39))/(4*PI()*0.0001)</f>
        <v>37.732094854674926</v>
      </c>
    </row>
    <row r="40" spans="2:14" x14ac:dyDescent="0.25">
      <c r="B40">
        <v>1.61</v>
      </c>
      <c r="C40">
        <v>1.61</v>
      </c>
      <c r="D40">
        <f t="shared" si="4"/>
        <v>2.5921000000000003</v>
      </c>
      <c r="E40">
        <f>ABS(D40)/(4*4*PI()*0.0001)</f>
        <v>515.6819099856275</v>
      </c>
      <c r="F40">
        <v>-1.57426</v>
      </c>
      <c r="G40">
        <v>-3.00217</v>
      </c>
      <c r="L40">
        <v>-0.23269999999999999</v>
      </c>
      <c r="M40">
        <v>1.1566399999999999</v>
      </c>
      <c r="N40">
        <f t="shared" ref="N40:N44" si="5">(ABS(M40*L40))/(4*PI()*0.0001)</f>
        <v>214.18286652508172</v>
      </c>
    </row>
    <row r="41" spans="2:14" x14ac:dyDescent="0.25">
      <c r="B41">
        <v>0.75</v>
      </c>
      <c r="C41">
        <v>0.75</v>
      </c>
      <c r="D41">
        <f t="shared" si="4"/>
        <v>0.5625</v>
      </c>
      <c r="E41">
        <f>ABS(D41)/(4*4*PI()*0.0001)</f>
        <v>111.90581936148891</v>
      </c>
      <c r="F41">
        <v>-1.7624599999999999</v>
      </c>
      <c r="G41">
        <v>-3.2299699999999998</v>
      </c>
      <c r="L41">
        <v>-0.42814000000000002</v>
      </c>
      <c r="M41">
        <v>0.94594</v>
      </c>
      <c r="N41">
        <f t="shared" si="5"/>
        <v>322.28458321707149</v>
      </c>
    </row>
    <row r="42" spans="2:14" x14ac:dyDescent="0.25">
      <c r="E42">
        <f t="shared" ref="E42:E93" si="6">ABS(D42)</f>
        <v>0</v>
      </c>
      <c r="F42">
        <v>-1.9558800000000001</v>
      </c>
      <c r="G42">
        <v>-3.4454699999999998</v>
      </c>
      <c r="L42">
        <v>-0.62311000000000005</v>
      </c>
      <c r="M42">
        <v>0.73429999999999995</v>
      </c>
      <c r="N42">
        <f t="shared" si="5"/>
        <v>364.10646084015161</v>
      </c>
    </row>
    <row r="43" spans="2:14" x14ac:dyDescent="0.25">
      <c r="E43">
        <f t="shared" si="6"/>
        <v>0</v>
      </c>
      <c r="F43">
        <v>-2.1523699999999999</v>
      </c>
      <c r="G43">
        <v>-3.6537700000000002</v>
      </c>
      <c r="L43">
        <v>-0.81754000000000004</v>
      </c>
      <c r="M43">
        <v>0.52127000000000001</v>
      </c>
      <c r="N43">
        <f t="shared" si="5"/>
        <v>339.12661728521857</v>
      </c>
    </row>
    <row r="44" spans="2:14" x14ac:dyDescent="0.25">
      <c r="E44">
        <f t="shared" si="6"/>
        <v>0</v>
      </c>
      <c r="F44">
        <v>-2.3502299999999998</v>
      </c>
      <c r="G44">
        <v>-3.8587899999999999</v>
      </c>
      <c r="L44">
        <v>-1.0032099999999999</v>
      </c>
      <c r="M44">
        <v>0.29365999999999998</v>
      </c>
      <c r="N44">
        <f t="shared" si="5"/>
        <v>234.43733886327317</v>
      </c>
    </row>
    <row r="45" spans="2:14" x14ac:dyDescent="0.25">
      <c r="E45">
        <f t="shared" si="6"/>
        <v>0</v>
      </c>
      <c r="F45">
        <v>-2.54867</v>
      </c>
      <c r="G45">
        <v>-4.0624599999999997</v>
      </c>
      <c r="L45">
        <v>-1.09674</v>
      </c>
      <c r="M45">
        <v>-0.10124</v>
      </c>
    </row>
    <row r="46" spans="2:14" x14ac:dyDescent="0.25">
      <c r="E46">
        <f t="shared" si="6"/>
        <v>0</v>
      </c>
      <c r="F46">
        <v>-2.7476400000000001</v>
      </c>
      <c r="G46">
        <v>-4.26492</v>
      </c>
    </row>
    <row r="47" spans="2:14" x14ac:dyDescent="0.25">
      <c r="E47">
        <f t="shared" si="6"/>
        <v>0</v>
      </c>
      <c r="F47">
        <v>-2.9466199999999998</v>
      </c>
      <c r="G47">
        <v>-4.4672900000000002</v>
      </c>
    </row>
    <row r="48" spans="2:14" x14ac:dyDescent="0.25">
      <c r="E48">
        <f t="shared" si="6"/>
        <v>0</v>
      </c>
      <c r="F48">
        <v>-3.14575</v>
      </c>
      <c r="G48">
        <v>-4.6693100000000003</v>
      </c>
      <c r="M48">
        <v>1.4036299999999999</v>
      </c>
      <c r="N48">
        <v>0.16314000000000001</v>
      </c>
    </row>
    <row r="49" spans="5:14" x14ac:dyDescent="0.25">
      <c r="E49">
        <f t="shared" si="6"/>
        <v>0</v>
      </c>
      <c r="F49">
        <v>-3.34491</v>
      </c>
      <c r="G49">
        <v>-4.8713100000000003</v>
      </c>
      <c r="M49">
        <v>1.39124</v>
      </c>
      <c r="N49">
        <v>-3.4959999999999998E-2</v>
      </c>
    </row>
    <row r="50" spans="5:14" x14ac:dyDescent="0.25">
      <c r="E50">
        <f t="shared" si="6"/>
        <v>0</v>
      </c>
      <c r="F50">
        <v>-3.5440499999999999</v>
      </c>
      <c r="G50">
        <v>-5.0733600000000001</v>
      </c>
      <c r="M50">
        <v>1.38934</v>
      </c>
      <c r="N50">
        <v>-0.23269999999999999</v>
      </c>
    </row>
    <row r="51" spans="5:14" x14ac:dyDescent="0.25">
      <c r="E51">
        <f t="shared" si="6"/>
        <v>0</v>
      </c>
      <c r="F51">
        <v>-3.7432699999999999</v>
      </c>
      <c r="G51">
        <v>-5.2751700000000001</v>
      </c>
      <c r="M51">
        <v>1.37408</v>
      </c>
      <c r="N51">
        <v>-0.42814000000000002</v>
      </c>
    </row>
    <row r="52" spans="5:14" x14ac:dyDescent="0.25">
      <c r="E52">
        <f t="shared" si="6"/>
        <v>0</v>
      </c>
      <c r="F52">
        <v>-3.9427599999999998</v>
      </c>
      <c r="G52">
        <v>-5.4763500000000001</v>
      </c>
      <c r="M52">
        <v>1.3573999999999999</v>
      </c>
      <c r="N52">
        <v>-0.62311000000000005</v>
      </c>
    </row>
    <row r="53" spans="5:14" x14ac:dyDescent="0.25">
      <c r="E53">
        <f t="shared" si="6"/>
        <v>0</v>
      </c>
      <c r="F53">
        <v>-4.1418600000000003</v>
      </c>
      <c r="G53">
        <v>-5.6784299999999996</v>
      </c>
      <c r="M53">
        <v>1.3388100000000001</v>
      </c>
      <c r="N53">
        <v>-0.81754000000000004</v>
      </c>
    </row>
    <row r="54" spans="5:14" x14ac:dyDescent="0.25">
      <c r="E54">
        <f t="shared" si="6"/>
        <v>0</v>
      </c>
      <c r="F54">
        <v>-4.3412699999999997</v>
      </c>
      <c r="G54">
        <v>-5.8799000000000001</v>
      </c>
      <c r="M54">
        <v>1.29687</v>
      </c>
      <c r="N54">
        <v>-1.0032099999999999</v>
      </c>
    </row>
    <row r="55" spans="5:14" x14ac:dyDescent="0.25">
      <c r="E55">
        <f t="shared" si="6"/>
        <v>0</v>
      </c>
      <c r="F55">
        <v>-4.5407299999999999</v>
      </c>
      <c r="G55">
        <v>-6.0811999999999999</v>
      </c>
      <c r="M55">
        <v>0.99550000000000005</v>
      </c>
      <c r="N55">
        <v>-1.09674</v>
      </c>
    </row>
    <row r="56" spans="5:14" x14ac:dyDescent="0.25">
      <c r="E56">
        <f t="shared" si="6"/>
        <v>0</v>
      </c>
      <c r="F56">
        <v>-4.3411499999999998</v>
      </c>
      <c r="G56">
        <v>-5.8801100000000002</v>
      </c>
      <c r="M56">
        <v>0.49007000000000001</v>
      </c>
      <c r="N56">
        <v>-1.1460699999999999</v>
      </c>
    </row>
    <row r="57" spans="5:14" x14ac:dyDescent="0.25">
      <c r="E57">
        <f t="shared" si="6"/>
        <v>0</v>
      </c>
      <c r="F57">
        <v>-4.1419100000000002</v>
      </c>
      <c r="G57">
        <v>-5.6783299999999999</v>
      </c>
      <c r="M57">
        <v>-0.10511</v>
      </c>
      <c r="N57">
        <v>-1.1686300000000001</v>
      </c>
    </row>
    <row r="58" spans="5:14" x14ac:dyDescent="0.25">
      <c r="E58">
        <f t="shared" si="6"/>
        <v>0</v>
      </c>
      <c r="F58">
        <v>-3.9425699999999999</v>
      </c>
      <c r="G58">
        <v>-5.47682</v>
      </c>
    </row>
    <row r="59" spans="5:14" x14ac:dyDescent="0.25">
      <c r="E59">
        <f t="shared" si="6"/>
        <v>0</v>
      </c>
      <c r="F59">
        <v>-3.7435399999999999</v>
      </c>
      <c r="G59">
        <v>-5.2745600000000001</v>
      </c>
    </row>
    <row r="60" spans="5:14" x14ac:dyDescent="0.25">
      <c r="E60">
        <f t="shared" si="6"/>
        <v>0</v>
      </c>
      <c r="F60">
        <v>-3.5440900000000002</v>
      </c>
      <c r="G60">
        <v>-5.0732100000000004</v>
      </c>
    </row>
    <row r="61" spans="5:14" x14ac:dyDescent="0.25">
      <c r="E61">
        <f t="shared" si="6"/>
        <v>0</v>
      </c>
      <c r="F61">
        <v>-3.3446799999999999</v>
      </c>
      <c r="G61">
        <v>-4.8718300000000001</v>
      </c>
    </row>
    <row r="62" spans="5:14" x14ac:dyDescent="0.25">
      <c r="E62">
        <f t="shared" si="6"/>
        <v>0</v>
      </c>
      <c r="F62">
        <v>-3.1454900000000001</v>
      </c>
      <c r="G62">
        <v>-4.6699799999999998</v>
      </c>
    </row>
    <row r="63" spans="5:14" x14ac:dyDescent="0.25">
      <c r="E63">
        <f t="shared" si="6"/>
        <v>0</v>
      </c>
      <c r="F63">
        <v>-2.9464000000000001</v>
      </c>
      <c r="G63">
        <v>-4.4677499999999997</v>
      </c>
    </row>
    <row r="64" spans="5:14" x14ac:dyDescent="0.25">
      <c r="E64">
        <f t="shared" si="6"/>
        <v>0</v>
      </c>
      <c r="F64">
        <v>-2.7473100000000001</v>
      </c>
      <c r="G64">
        <v>-4.2656400000000003</v>
      </c>
    </row>
    <row r="65" spans="5:7" x14ac:dyDescent="0.25">
      <c r="E65">
        <f t="shared" si="6"/>
        <v>0</v>
      </c>
      <c r="F65">
        <v>-2.54806</v>
      </c>
      <c r="G65">
        <v>-4.0639099999999999</v>
      </c>
    </row>
    <row r="66" spans="5:7" x14ac:dyDescent="0.25">
      <c r="E66">
        <f t="shared" si="6"/>
        <v>0</v>
      </c>
      <c r="F66">
        <v>-2.3489499999999999</v>
      </c>
      <c r="G66">
        <v>-3.8617699999999999</v>
      </c>
    </row>
    <row r="67" spans="5:7" x14ac:dyDescent="0.25">
      <c r="E67">
        <f t="shared" si="6"/>
        <v>0</v>
      </c>
      <c r="F67">
        <v>-2.1499299999999999</v>
      </c>
      <c r="G67">
        <v>-3.6595399999999998</v>
      </c>
    </row>
    <row r="68" spans="5:7" x14ac:dyDescent="0.25">
      <c r="E68">
        <f t="shared" si="6"/>
        <v>0</v>
      </c>
      <c r="F68">
        <v>-1.9513</v>
      </c>
      <c r="G68">
        <v>-3.45628</v>
      </c>
    </row>
    <row r="69" spans="5:7" x14ac:dyDescent="0.25">
      <c r="E69">
        <f t="shared" si="6"/>
        <v>0</v>
      </c>
      <c r="F69">
        <v>-1.7520199999999999</v>
      </c>
      <c r="G69">
        <v>-3.2546300000000001</v>
      </c>
    </row>
    <row r="70" spans="5:7" x14ac:dyDescent="0.25">
      <c r="E70">
        <f t="shared" si="6"/>
        <v>0</v>
      </c>
      <c r="F70">
        <v>-1.55301</v>
      </c>
      <c r="G70">
        <v>-3.0523600000000002</v>
      </c>
    </row>
    <row r="71" spans="5:7" x14ac:dyDescent="0.25">
      <c r="E71">
        <f t="shared" si="6"/>
        <v>0</v>
      </c>
      <c r="F71">
        <v>-1.3541399999999999</v>
      </c>
      <c r="G71">
        <v>-2.84958</v>
      </c>
    </row>
    <row r="72" spans="5:7" x14ac:dyDescent="0.25">
      <c r="E72">
        <f t="shared" si="6"/>
        <v>0</v>
      </c>
      <c r="F72">
        <v>-1.1553599999999999</v>
      </c>
      <c r="G72">
        <v>-2.6468699999999998</v>
      </c>
    </row>
    <row r="73" spans="5:7" x14ac:dyDescent="0.25">
      <c r="E73">
        <f t="shared" si="6"/>
        <v>0</v>
      </c>
      <c r="F73">
        <v>-0.95667999999999997</v>
      </c>
      <c r="G73">
        <v>-2.44374</v>
      </c>
    </row>
    <row r="74" spans="5:7" x14ac:dyDescent="0.25">
      <c r="E74">
        <f t="shared" si="6"/>
        <v>0</v>
      </c>
      <c r="F74">
        <v>-0.75839999999999996</v>
      </c>
      <c r="G74">
        <v>-2.2397</v>
      </c>
    </row>
    <row r="75" spans="5:7" x14ac:dyDescent="0.25">
      <c r="E75">
        <f t="shared" si="6"/>
        <v>0</v>
      </c>
      <c r="F75">
        <v>-0.55957999999999997</v>
      </c>
      <c r="G75">
        <v>-2.0369199999999998</v>
      </c>
    </row>
    <row r="76" spans="5:7" x14ac:dyDescent="0.25">
      <c r="E76">
        <f t="shared" si="6"/>
        <v>0</v>
      </c>
      <c r="F76">
        <v>-0.36109000000000002</v>
      </c>
      <c r="G76">
        <v>-1.83341</v>
      </c>
    </row>
    <row r="77" spans="5:7" x14ac:dyDescent="0.25">
      <c r="E77">
        <f t="shared" si="6"/>
        <v>0</v>
      </c>
      <c r="F77">
        <v>-0.16266</v>
      </c>
      <c r="G77">
        <v>-1.6294999999999999</v>
      </c>
    </row>
    <row r="78" spans="5:7" x14ac:dyDescent="0.25">
      <c r="E78">
        <f t="shared" si="6"/>
        <v>0</v>
      </c>
      <c r="F78">
        <v>3.5459999999999998E-2</v>
      </c>
      <c r="G78">
        <v>-1.4252499999999999</v>
      </c>
    </row>
    <row r="79" spans="5:7" x14ac:dyDescent="0.25">
      <c r="E79">
        <f t="shared" si="6"/>
        <v>0</v>
      </c>
      <c r="F79">
        <v>0.2334</v>
      </c>
      <c r="G79">
        <v>-1.22034</v>
      </c>
    </row>
    <row r="80" spans="5:7" x14ac:dyDescent="0.25">
      <c r="E80">
        <f t="shared" si="6"/>
        <v>0</v>
      </c>
      <c r="F80">
        <v>0.42875999999999997</v>
      </c>
      <c r="G80">
        <v>-1.00953</v>
      </c>
    </row>
    <row r="81" spans="5:7" x14ac:dyDescent="0.25">
      <c r="E81">
        <f t="shared" si="6"/>
        <v>0</v>
      </c>
      <c r="F81">
        <v>0.62370000000000003</v>
      </c>
      <c r="G81">
        <v>-0.79756000000000005</v>
      </c>
    </row>
    <row r="82" spans="5:7" x14ac:dyDescent="0.25">
      <c r="E82">
        <f t="shared" si="6"/>
        <v>0</v>
      </c>
      <c r="F82">
        <v>0.81813999999999998</v>
      </c>
      <c r="G82">
        <v>-0.58455000000000001</v>
      </c>
    </row>
    <row r="83" spans="5:7" x14ac:dyDescent="0.25">
      <c r="E83">
        <f t="shared" si="6"/>
        <v>0</v>
      </c>
      <c r="F83">
        <v>1.00305</v>
      </c>
      <c r="G83">
        <v>-0.34892000000000001</v>
      </c>
    </row>
    <row r="84" spans="5:7" x14ac:dyDescent="0.25">
      <c r="E84">
        <f t="shared" si="6"/>
        <v>0</v>
      </c>
      <c r="F84">
        <v>1.1016600000000001</v>
      </c>
      <c r="G84">
        <v>8.9910000000000004E-2</v>
      </c>
    </row>
    <row r="85" spans="5:7" x14ac:dyDescent="0.25">
      <c r="E85">
        <f t="shared" si="6"/>
        <v>0</v>
      </c>
      <c r="F85">
        <v>1.1480699999999999</v>
      </c>
      <c r="G85">
        <v>0.65151000000000003</v>
      </c>
    </row>
    <row r="86" spans="5:7" x14ac:dyDescent="0.25">
      <c r="E86">
        <f t="shared" si="6"/>
        <v>0</v>
      </c>
      <c r="F86">
        <v>1.16456</v>
      </c>
      <c r="G86">
        <v>1.2835099999999999</v>
      </c>
    </row>
    <row r="87" spans="5:7" x14ac:dyDescent="0.25">
      <c r="E87">
        <f t="shared" si="6"/>
        <v>0</v>
      </c>
      <c r="F87">
        <v>1.19373</v>
      </c>
      <c r="G87">
        <v>1.88575</v>
      </c>
    </row>
    <row r="88" spans="5:7" x14ac:dyDescent="0.25">
      <c r="E88">
        <f t="shared" si="6"/>
        <v>0</v>
      </c>
      <c r="F88">
        <v>1.2636099999999999</v>
      </c>
      <c r="G88">
        <v>2.3921299999999999</v>
      </c>
    </row>
    <row r="89" spans="5:7" x14ac:dyDescent="0.25">
      <c r="E89">
        <f t="shared" si="6"/>
        <v>0</v>
      </c>
      <c r="F89">
        <v>1.3968100000000001</v>
      </c>
      <c r="G89">
        <v>2.7493400000000001</v>
      </c>
    </row>
    <row r="90" spans="5:7" x14ac:dyDescent="0.25">
      <c r="E90">
        <f t="shared" si="6"/>
        <v>0</v>
      </c>
      <c r="F90">
        <v>1.57368</v>
      </c>
      <c r="G90">
        <v>3.0037500000000001</v>
      </c>
    </row>
    <row r="91" spans="5:7" x14ac:dyDescent="0.25">
      <c r="E91">
        <f t="shared" si="6"/>
        <v>0</v>
      </c>
      <c r="F91">
        <v>1.76227</v>
      </c>
      <c r="G91">
        <v>3.2306300000000001</v>
      </c>
    </row>
    <row r="92" spans="5:7" x14ac:dyDescent="0.25">
      <c r="E92">
        <f t="shared" si="6"/>
        <v>0</v>
      </c>
      <c r="F92">
        <v>1.9557</v>
      </c>
      <c r="G92">
        <v>3.4461400000000002</v>
      </c>
    </row>
    <row r="93" spans="5:7" x14ac:dyDescent="0.25">
      <c r="E93">
        <f t="shared" si="6"/>
        <v>0</v>
      </c>
      <c r="F93">
        <v>2.1522999999999999</v>
      </c>
      <c r="G93">
        <v>3.6541199999999998</v>
      </c>
    </row>
    <row r="94" spans="5:7" x14ac:dyDescent="0.25">
      <c r="E94">
        <f t="shared" ref="E94:E105" si="7">ABS(D94)</f>
        <v>0</v>
      </c>
      <c r="F94">
        <v>2.3501400000000001</v>
      </c>
      <c r="G94">
        <v>3.8592499999999998</v>
      </c>
    </row>
    <row r="95" spans="5:7" x14ac:dyDescent="0.25">
      <c r="E95">
        <f t="shared" si="7"/>
        <v>0</v>
      </c>
      <c r="F95">
        <v>2.54867</v>
      </c>
      <c r="G95">
        <v>4.0627000000000004</v>
      </c>
    </row>
    <row r="96" spans="5:7" x14ac:dyDescent="0.25">
      <c r="E96">
        <f t="shared" si="7"/>
        <v>0</v>
      </c>
      <c r="F96">
        <v>2.7475800000000001</v>
      </c>
      <c r="G96">
        <v>4.2652799999999997</v>
      </c>
    </row>
    <row r="97" spans="5:7" x14ac:dyDescent="0.25">
      <c r="E97">
        <f t="shared" si="7"/>
        <v>0</v>
      </c>
      <c r="F97">
        <v>2.9464999999999999</v>
      </c>
      <c r="G97">
        <v>4.4677600000000002</v>
      </c>
    </row>
    <row r="98" spans="5:7" x14ac:dyDescent="0.25">
      <c r="E98">
        <f t="shared" si="7"/>
        <v>0</v>
      </c>
      <c r="F98">
        <v>3.1458300000000001</v>
      </c>
      <c r="G98">
        <v>4.66934</v>
      </c>
    </row>
    <row r="99" spans="5:7" x14ac:dyDescent="0.25">
      <c r="E99">
        <f t="shared" si="7"/>
        <v>0</v>
      </c>
      <c r="F99">
        <v>3.3447900000000002</v>
      </c>
      <c r="G99">
        <v>4.8718300000000001</v>
      </c>
    </row>
    <row r="100" spans="5:7" x14ac:dyDescent="0.25">
      <c r="E100">
        <f t="shared" si="7"/>
        <v>0</v>
      </c>
      <c r="F100">
        <v>3.5439600000000002</v>
      </c>
      <c r="G100">
        <v>5.0737699999999997</v>
      </c>
    </row>
    <row r="101" spans="5:7" x14ac:dyDescent="0.25">
      <c r="E101">
        <f t="shared" si="7"/>
        <v>0</v>
      </c>
      <c r="F101">
        <v>3.7433800000000002</v>
      </c>
      <c r="G101">
        <v>5.2751400000000004</v>
      </c>
    </row>
    <row r="102" spans="5:7" x14ac:dyDescent="0.25">
      <c r="E102">
        <f t="shared" si="7"/>
        <v>0</v>
      </c>
      <c r="F102">
        <v>3.9425300000000001</v>
      </c>
      <c r="G102">
        <v>5.4771200000000002</v>
      </c>
    </row>
    <row r="103" spans="5:7" x14ac:dyDescent="0.25">
      <c r="E103">
        <f t="shared" si="7"/>
        <v>0</v>
      </c>
      <c r="F103">
        <v>4.14215</v>
      </c>
      <c r="G103">
        <v>5.6780400000000002</v>
      </c>
    </row>
    <row r="104" spans="5:7" x14ac:dyDescent="0.25">
      <c r="E104">
        <f t="shared" si="7"/>
        <v>0</v>
      </c>
      <c r="F104">
        <v>4.3412600000000001</v>
      </c>
      <c r="G104">
        <v>5.8801699999999997</v>
      </c>
    </row>
    <row r="105" spans="5:7" x14ac:dyDescent="0.25">
      <c r="E105">
        <f t="shared" si="7"/>
        <v>0</v>
      </c>
      <c r="F105">
        <v>4.5407900000000003</v>
      </c>
      <c r="G105">
        <v>6.08127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G198"/>
  <sheetViews>
    <sheetView zoomScale="55" zoomScaleNormal="55" workbookViewId="0">
      <selection activeCell="AG4" sqref="AG4"/>
    </sheetView>
  </sheetViews>
  <sheetFormatPr defaultRowHeight="15" x14ac:dyDescent="0.25"/>
  <sheetData>
    <row r="2" spans="3:33" ht="15.75" thickBot="1" x14ac:dyDescent="0.3"/>
    <row r="3" spans="3:33" x14ac:dyDescent="0.25">
      <c r="C3" s="10" t="s">
        <v>5</v>
      </c>
      <c r="D3" s="11"/>
      <c r="E3" s="11"/>
      <c r="F3" s="12"/>
      <c r="H3" s="10" t="s">
        <v>6</v>
      </c>
      <c r="I3" s="11"/>
      <c r="J3" s="11"/>
      <c r="K3" s="12"/>
      <c r="O3" s="2" t="s">
        <v>1</v>
      </c>
      <c r="P3" s="1" t="s">
        <v>2</v>
      </c>
      <c r="Q3" s="1" t="s">
        <v>3</v>
      </c>
      <c r="AC3" s="2" t="s">
        <v>1</v>
      </c>
      <c r="AD3" s="1" t="s">
        <v>2</v>
      </c>
      <c r="AE3" s="1" t="s">
        <v>3</v>
      </c>
    </row>
    <row r="4" spans="3:33" x14ac:dyDescent="0.25">
      <c r="C4" s="2" t="s">
        <v>1</v>
      </c>
      <c r="D4" s="1" t="s">
        <v>2</v>
      </c>
      <c r="E4" s="1" t="s">
        <v>3</v>
      </c>
      <c r="F4" s="3" t="s">
        <v>4</v>
      </c>
      <c r="H4" s="2" t="s">
        <v>1</v>
      </c>
      <c r="I4" s="1" t="s">
        <v>2</v>
      </c>
      <c r="J4" s="1" t="s">
        <v>3</v>
      </c>
      <c r="K4" s="3" t="s">
        <v>4</v>
      </c>
      <c r="O4">
        <v>6.4999999999999997E-3</v>
      </c>
      <c r="P4">
        <v>1.22618</v>
      </c>
      <c r="Q4" s="1">
        <f t="shared" ref="Q4:Q67" si="0">ABS(P4*O4)</f>
        <v>7.9701700000000004E-3</v>
      </c>
      <c r="R4" s="3">
        <f t="shared" ref="R4:R67" si="1">Q4/(4*PI()*0.0001)</f>
        <v>6.3424597639136575</v>
      </c>
      <c r="S4">
        <f>MAX(R4:R198)</f>
        <v>272.572256947928</v>
      </c>
      <c r="X4">
        <v>1.21967</v>
      </c>
      <c r="AC4">
        <v>8.2699999999999996E-3</v>
      </c>
      <c r="AD4">
        <v>1.36904</v>
      </c>
      <c r="AE4" s="1">
        <f t="shared" ref="AE4:AE67" si="2">ABS(AD4*AC4)</f>
        <v>1.1321960799999999E-2</v>
      </c>
      <c r="AF4" s="3">
        <f t="shared" ref="AF4:AF67" si="3">AE4/(4*PI()*0.0001)</f>
        <v>9.0097301340633482</v>
      </c>
      <c r="AG4">
        <f>MAX(AF4:AF198)</f>
        <v>353.10166524372221</v>
      </c>
    </row>
    <row r="5" spans="3:33" x14ac:dyDescent="0.25">
      <c r="C5" s="2">
        <v>5.2170000000000001E-2</v>
      </c>
      <c r="D5" s="1">
        <v>1.0408200000000001</v>
      </c>
      <c r="E5" s="1">
        <f>ABS(D5*C5)</f>
        <v>5.4299579400000006E-2</v>
      </c>
      <c r="F5" s="3">
        <f>E5/(4*PI()*0.0001)</f>
        <v>43.210232346604265</v>
      </c>
      <c r="H5" s="2">
        <v>-1.1209999999999999E-2</v>
      </c>
      <c r="I5" s="1">
        <v>1.0651600000000001</v>
      </c>
      <c r="J5" s="1">
        <f t="shared" ref="J5:J10" si="4">ABS(I5*H5)</f>
        <v>1.1940443600000001E-2</v>
      </c>
      <c r="K5" s="3">
        <f t="shared" ref="K5:K10" si="5">J5/(4*PI()*0.0001)</f>
        <v>9.5019031082499303</v>
      </c>
      <c r="O5">
        <v>-4.9199999999999999E-3</v>
      </c>
      <c r="P5">
        <v>1.21454</v>
      </c>
      <c r="Q5" s="1">
        <f t="shared" si="0"/>
        <v>5.9755367999999994E-3</v>
      </c>
      <c r="R5" s="3">
        <f t="shared" si="1"/>
        <v>4.7551810967376316</v>
      </c>
      <c r="X5">
        <v>1.21946</v>
      </c>
      <c r="AC5">
        <v>-3.6700000000000001E-3</v>
      </c>
      <c r="AD5">
        <v>1.35693</v>
      </c>
      <c r="AE5" s="1">
        <f t="shared" si="2"/>
        <v>4.9799331000000002E-3</v>
      </c>
      <c r="AF5" s="3">
        <f t="shared" si="3"/>
        <v>3.9629048456597298</v>
      </c>
    </row>
    <row r="6" spans="3:33" x14ac:dyDescent="0.25">
      <c r="C6" s="2">
        <v>-0.14527000000000001</v>
      </c>
      <c r="D6" s="1">
        <v>0.82616000000000001</v>
      </c>
      <c r="E6" s="1">
        <f t="shared" ref="E6:E10" si="6">ABS(D6*C6)</f>
        <v>0.12001626320000001</v>
      </c>
      <c r="F6" s="3">
        <f t="shared" ref="F6:F10" si="7">E6/(4*PI()*0.0001)</f>
        <v>95.505907698489679</v>
      </c>
      <c r="H6" s="2">
        <v>-0.20918999999999999</v>
      </c>
      <c r="I6" s="1">
        <v>0.85675000000000001</v>
      </c>
      <c r="J6" s="1">
        <f t="shared" si="4"/>
        <v>0.1792235325</v>
      </c>
      <c r="K6" s="3">
        <f t="shared" si="5"/>
        <v>142.62155557882977</v>
      </c>
      <c r="O6">
        <v>-1.6789999999999999E-2</v>
      </c>
      <c r="P6">
        <v>1.20224</v>
      </c>
      <c r="Q6" s="1">
        <f t="shared" si="0"/>
        <v>2.0185609599999998E-2</v>
      </c>
      <c r="R6" s="3">
        <f t="shared" si="1"/>
        <v>16.063197735816079</v>
      </c>
      <c r="X6">
        <v>1.2190300000000001</v>
      </c>
      <c r="AC6">
        <v>-1.438E-2</v>
      </c>
      <c r="AD6">
        <v>1.34534</v>
      </c>
      <c r="AE6" s="1">
        <f t="shared" si="2"/>
        <v>1.93459892E-2</v>
      </c>
      <c r="AF6" s="3">
        <f t="shared" si="3"/>
        <v>15.39504905091211</v>
      </c>
    </row>
    <row r="7" spans="3:33" x14ac:dyDescent="0.25">
      <c r="C7" s="2">
        <v>-0.34253</v>
      </c>
      <c r="D7" s="1">
        <v>0.61053000000000002</v>
      </c>
      <c r="E7" s="1">
        <f t="shared" si="6"/>
        <v>0.2091248409</v>
      </c>
      <c r="F7" s="3">
        <f t="shared" si="7"/>
        <v>166.41626076270583</v>
      </c>
      <c r="H7" s="2">
        <v>-0.40672999999999998</v>
      </c>
      <c r="I7" s="1">
        <v>0.64671000000000001</v>
      </c>
      <c r="J7" s="1">
        <f t="shared" si="4"/>
        <v>0.26303635829999999</v>
      </c>
      <c r="K7" s="4">
        <f t="shared" si="5"/>
        <v>209.31768318167946</v>
      </c>
      <c r="O7">
        <v>-2.8930000000000001E-2</v>
      </c>
      <c r="P7">
        <v>1.1890000000000001</v>
      </c>
      <c r="Q7" s="1">
        <f t="shared" si="0"/>
        <v>3.4397770000000001E-2</v>
      </c>
      <c r="R7" s="3">
        <f t="shared" si="1"/>
        <v>27.372875634190525</v>
      </c>
      <c r="X7">
        <v>1.21793</v>
      </c>
      <c r="AC7">
        <v>-2.4500000000000001E-2</v>
      </c>
      <c r="AD7">
        <v>1.33409</v>
      </c>
      <c r="AE7" s="1">
        <f t="shared" si="2"/>
        <v>3.2685205000000002E-2</v>
      </c>
      <c r="AF7" s="3">
        <f t="shared" si="3"/>
        <v>26.010059708609667</v>
      </c>
    </row>
    <row r="8" spans="3:33" x14ac:dyDescent="0.25">
      <c r="C8" s="2">
        <v>-0.53959999999999997</v>
      </c>
      <c r="D8" s="1">
        <v>0.39389000000000002</v>
      </c>
      <c r="E8" s="1">
        <f t="shared" si="6"/>
        <v>0.21254304399999999</v>
      </c>
      <c r="F8" s="4">
        <f t="shared" si="7"/>
        <v>169.13638036199103</v>
      </c>
      <c r="H8" s="2">
        <v>-0.60343000000000002</v>
      </c>
      <c r="I8" s="1">
        <v>0.43332999999999999</v>
      </c>
      <c r="J8" s="1">
        <f t="shared" si="4"/>
        <v>0.26148432189999998</v>
      </c>
      <c r="K8" s="3">
        <f t="shared" si="5"/>
        <v>208.0826118570867</v>
      </c>
      <c r="O8">
        <v>-3.959E-2</v>
      </c>
      <c r="P8">
        <v>1.1772899999999999</v>
      </c>
      <c r="Q8" s="1">
        <f t="shared" si="0"/>
        <v>4.6608911099999997E-2</v>
      </c>
      <c r="R8" s="3">
        <f t="shared" si="1"/>
        <v>37.090192968478547</v>
      </c>
      <c r="X8">
        <v>1.21688</v>
      </c>
      <c r="AC8">
        <v>-3.5220000000000001E-2</v>
      </c>
      <c r="AD8">
        <v>1.32406</v>
      </c>
      <c r="AE8" s="1">
        <f t="shared" si="2"/>
        <v>4.6633393200000005E-2</v>
      </c>
      <c r="AF8" s="3">
        <f t="shared" si="3"/>
        <v>37.109675204639899</v>
      </c>
    </row>
    <row r="9" spans="3:33" x14ac:dyDescent="0.25">
      <c r="C9" s="2">
        <v>-0.73624999999999996</v>
      </c>
      <c r="D9" s="1">
        <v>0.17488999999999999</v>
      </c>
      <c r="E9" s="1">
        <f t="shared" si="6"/>
        <v>0.12876276249999999</v>
      </c>
      <c r="F9" s="3">
        <f t="shared" si="7"/>
        <v>102.46615069021367</v>
      </c>
      <c r="H9" s="2">
        <v>-0.79983000000000004</v>
      </c>
      <c r="I9" s="1">
        <v>0.21854000000000001</v>
      </c>
      <c r="J9" s="1">
        <f t="shared" si="4"/>
        <v>0.17479484820000002</v>
      </c>
      <c r="K9" s="3">
        <f t="shared" si="5"/>
        <v>139.09732059013743</v>
      </c>
      <c r="O9">
        <v>-5.1790000000000003E-2</v>
      </c>
      <c r="P9">
        <v>1.16415</v>
      </c>
      <c r="Q9" s="1">
        <f t="shared" si="0"/>
        <v>6.0291328500000005E-2</v>
      </c>
      <c r="R9" s="3">
        <f t="shared" si="1"/>
        <v>47.978314781761341</v>
      </c>
      <c r="X9">
        <v>1.21594</v>
      </c>
      <c r="AC9">
        <v>-4.4450000000000003E-2</v>
      </c>
      <c r="AD9">
        <v>1.3140099999999999</v>
      </c>
      <c r="AE9" s="1">
        <f t="shared" si="2"/>
        <v>5.8407744499999997E-2</v>
      </c>
      <c r="AF9" s="3">
        <f t="shared" si="3"/>
        <v>46.479406260117315</v>
      </c>
    </row>
    <row r="10" spans="3:33" ht="15.75" thickBot="1" x14ac:dyDescent="0.3">
      <c r="C10" s="5">
        <v>-0.93276999999999999</v>
      </c>
      <c r="D10" s="6">
        <v>-4.4880000000000003E-2</v>
      </c>
      <c r="E10" s="6">
        <f t="shared" si="6"/>
        <v>4.1862717600000002E-2</v>
      </c>
      <c r="F10" s="7">
        <f t="shared" si="7"/>
        <v>33.313292186500426</v>
      </c>
      <c r="H10" s="5">
        <v>-0.99575999999999998</v>
      </c>
      <c r="I10" s="6">
        <v>1.91E-3</v>
      </c>
      <c r="J10" s="6">
        <f t="shared" si="4"/>
        <v>1.9019015999999999E-3</v>
      </c>
      <c r="K10" s="7">
        <f t="shared" si="5"/>
        <v>1.5134852045719234</v>
      </c>
      <c r="O10">
        <v>-6.447E-2</v>
      </c>
      <c r="P10">
        <v>1.15038</v>
      </c>
      <c r="Q10" s="1">
        <f t="shared" si="0"/>
        <v>7.416499859999999E-2</v>
      </c>
      <c r="R10" s="3">
        <f t="shared" si="1"/>
        <v>59.018630657967478</v>
      </c>
      <c r="X10">
        <v>1.21485</v>
      </c>
      <c r="AC10">
        <v>-5.4010000000000002E-2</v>
      </c>
      <c r="AD10">
        <v>1.3031299999999999</v>
      </c>
      <c r="AE10" s="1">
        <f t="shared" si="2"/>
        <v>7.0382051299999998E-2</v>
      </c>
      <c r="AF10" s="3">
        <f t="shared" si="3"/>
        <v>56.008256846711795</v>
      </c>
    </row>
    <row r="11" spans="3:33" ht="15.75" thickBot="1" x14ac:dyDescent="0.3">
      <c r="O11">
        <v>-7.528E-2</v>
      </c>
      <c r="P11">
        <v>1.1389</v>
      </c>
      <c r="Q11" s="1">
        <f t="shared" si="0"/>
        <v>8.5736391999999995E-2</v>
      </c>
      <c r="R11" s="3">
        <f t="shared" si="1"/>
        <v>68.226852948322147</v>
      </c>
      <c r="X11">
        <v>1.21417</v>
      </c>
      <c r="AC11">
        <v>-6.5509999999999999E-2</v>
      </c>
      <c r="AD11">
        <v>1.29165</v>
      </c>
      <c r="AE11" s="1">
        <f t="shared" si="2"/>
        <v>8.4615991500000001E-2</v>
      </c>
      <c r="AF11" s="3">
        <f t="shared" si="3"/>
        <v>67.335266559234</v>
      </c>
    </row>
    <row r="12" spans="3:33" x14ac:dyDescent="0.25">
      <c r="C12" s="10" t="s">
        <v>8</v>
      </c>
      <c r="D12" s="11"/>
      <c r="E12" s="11"/>
      <c r="F12" s="12"/>
      <c r="H12" s="10" t="s">
        <v>7</v>
      </c>
      <c r="I12" s="11"/>
      <c r="J12" s="11"/>
      <c r="K12" s="12"/>
      <c r="O12">
        <v>-8.6610000000000006E-2</v>
      </c>
      <c r="P12">
        <v>1.12704</v>
      </c>
      <c r="Q12" s="1">
        <f t="shared" si="0"/>
        <v>9.7612934400000018E-2</v>
      </c>
      <c r="R12" s="3">
        <f t="shared" si="1"/>
        <v>77.677905097324583</v>
      </c>
      <c r="X12">
        <v>1.2136499999999999</v>
      </c>
      <c r="AC12">
        <v>-7.6149999999999995E-2</v>
      </c>
      <c r="AD12">
        <v>1.28145</v>
      </c>
      <c r="AE12" s="1">
        <f t="shared" si="2"/>
        <v>9.758241749999999E-2</v>
      </c>
      <c r="AF12" s="3">
        <f t="shared" si="3"/>
        <v>77.653620519910348</v>
      </c>
    </row>
    <row r="13" spans="3:33" x14ac:dyDescent="0.25">
      <c r="C13" s="2" t="s">
        <v>1</v>
      </c>
      <c r="D13" s="1" t="s">
        <v>2</v>
      </c>
      <c r="E13" s="1" t="s">
        <v>3</v>
      </c>
      <c r="F13" s="3" t="s">
        <v>4</v>
      </c>
      <c r="H13" s="2" t="s">
        <v>1</v>
      </c>
      <c r="I13" s="1" t="s">
        <v>2</v>
      </c>
      <c r="J13" s="1" t="s">
        <v>3</v>
      </c>
      <c r="K13" s="3" t="s">
        <v>4</v>
      </c>
      <c r="O13">
        <v>-9.5920000000000005E-2</v>
      </c>
      <c r="P13">
        <v>1.11711</v>
      </c>
      <c r="Q13" s="1">
        <f t="shared" si="0"/>
        <v>0.10715319120000001</v>
      </c>
      <c r="R13" s="3">
        <f t="shared" si="1"/>
        <v>85.269800237754907</v>
      </c>
      <c r="X13">
        <v>1.2130300000000001</v>
      </c>
      <c r="AC13">
        <v>-9.5869999999999997E-2</v>
      </c>
      <c r="AD13">
        <v>1.26088</v>
      </c>
      <c r="AE13" s="1">
        <f t="shared" si="2"/>
        <v>0.12088056559999999</v>
      </c>
      <c r="AF13" s="3">
        <f t="shared" si="3"/>
        <v>96.193697694920601</v>
      </c>
    </row>
    <row r="14" spans="3:33" x14ac:dyDescent="0.25">
      <c r="C14" s="2">
        <v>0.10818</v>
      </c>
      <c r="D14" s="1">
        <v>1.38615</v>
      </c>
      <c r="E14" s="1">
        <f t="shared" ref="E14:E20" si="8">ABS(D14*C14)</f>
        <v>0.14995370699999999</v>
      </c>
      <c r="F14" s="3">
        <f t="shared" ref="F14:F20" si="9">E14/(4*PI()*0.0001)</f>
        <v>119.32936852001873</v>
      </c>
      <c r="H14" s="2">
        <v>0.12545000000000001</v>
      </c>
      <c r="I14" s="1">
        <v>1.45746</v>
      </c>
      <c r="J14" s="1">
        <f t="shared" ref="J14:J20" si="10">ABS(I14*H14)</f>
        <v>0.18283835700000001</v>
      </c>
      <c r="K14" s="3">
        <f t="shared" ref="K14:K20" si="11">J14/(4*PI()*0.0001)</f>
        <v>145.49814151675324</v>
      </c>
      <c r="O14">
        <v>-0.10509</v>
      </c>
      <c r="P14">
        <v>1.1069100000000001</v>
      </c>
      <c r="Q14" s="1">
        <f t="shared" si="0"/>
        <v>0.11632517190000001</v>
      </c>
      <c r="R14" s="3">
        <f t="shared" si="1"/>
        <v>92.56863056949723</v>
      </c>
      <c r="X14">
        <v>1.212</v>
      </c>
      <c r="AC14">
        <v>-0.10274999999999999</v>
      </c>
      <c r="AD14">
        <v>1.2536400000000001</v>
      </c>
      <c r="AE14" s="1">
        <f t="shared" si="2"/>
        <v>0.12881150999999999</v>
      </c>
      <c r="AF14" s="3">
        <f t="shared" si="3"/>
        <v>102.50494271815553</v>
      </c>
    </row>
    <row r="15" spans="3:33" x14ac:dyDescent="0.25">
      <c r="C15" s="2">
        <v>-8.9469999999999994E-2</v>
      </c>
      <c r="D15" s="1">
        <v>1.17818</v>
      </c>
      <c r="E15" s="1">
        <f t="shared" si="8"/>
        <v>0.1054117646</v>
      </c>
      <c r="F15" s="3">
        <f t="shared" si="9"/>
        <v>83.884016980646336</v>
      </c>
      <c r="H15" s="2">
        <v>-7.2800000000000004E-2</v>
      </c>
      <c r="I15" s="1">
        <v>1.2507299999999999</v>
      </c>
      <c r="J15" s="1">
        <f t="shared" si="10"/>
        <v>9.1053144000000003E-2</v>
      </c>
      <c r="K15" s="3">
        <f t="shared" si="11"/>
        <v>72.457789758290758</v>
      </c>
      <c r="O15">
        <v>-0.11527</v>
      </c>
      <c r="P15">
        <v>1.0957399999999999</v>
      </c>
      <c r="Q15" s="1">
        <f t="shared" si="0"/>
        <v>0.12630594979999998</v>
      </c>
      <c r="R15" s="3">
        <f t="shared" si="1"/>
        <v>100.51108126293394</v>
      </c>
      <c r="X15">
        <v>1.21102</v>
      </c>
      <c r="AC15">
        <v>-0.1153</v>
      </c>
      <c r="AD15">
        <v>1.24116</v>
      </c>
      <c r="AE15" s="1">
        <f t="shared" si="2"/>
        <v>0.143105748</v>
      </c>
      <c r="AF15" s="3">
        <f t="shared" si="3"/>
        <v>113.87993589531558</v>
      </c>
    </row>
    <row r="16" spans="3:33" x14ac:dyDescent="0.25">
      <c r="C16" s="2">
        <v>-0.28706999999999999</v>
      </c>
      <c r="D16" s="1">
        <v>0.97001000000000004</v>
      </c>
      <c r="E16" s="1">
        <f t="shared" si="8"/>
        <v>0.27846077070000003</v>
      </c>
      <c r="F16" s="8">
        <f t="shared" si="9"/>
        <v>221.5920405704191</v>
      </c>
      <c r="H16" s="2">
        <v>-0.27078999999999998</v>
      </c>
      <c r="I16" s="1">
        <v>1.04295</v>
      </c>
      <c r="J16" s="1">
        <f t="shared" si="10"/>
        <v>0.28242043049999999</v>
      </c>
      <c r="K16" s="8">
        <f t="shared" si="11"/>
        <v>224.74303772108041</v>
      </c>
      <c r="O16">
        <v>-0.12612000000000001</v>
      </c>
      <c r="P16">
        <v>1.0844199999999999</v>
      </c>
      <c r="Q16" s="1">
        <f t="shared" si="0"/>
        <v>0.13676705040000001</v>
      </c>
      <c r="R16" s="3">
        <f t="shared" si="1"/>
        <v>108.83576061629192</v>
      </c>
      <c r="X16">
        <v>1.2105399999999999</v>
      </c>
      <c r="AC16">
        <v>-0.12511</v>
      </c>
      <c r="AD16">
        <v>1.2291799999999999</v>
      </c>
      <c r="AE16" s="1">
        <f t="shared" si="2"/>
        <v>0.1537827098</v>
      </c>
      <c r="AF16" s="3">
        <f t="shared" si="3"/>
        <v>122.37639213368229</v>
      </c>
    </row>
    <row r="17" spans="3:32" x14ac:dyDescent="0.25">
      <c r="C17" s="2">
        <v>-0.48414000000000001</v>
      </c>
      <c r="D17" s="1">
        <v>0.76010999999999995</v>
      </c>
      <c r="E17" s="1">
        <f t="shared" si="8"/>
        <v>0.36799965540000001</v>
      </c>
      <c r="F17" s="3">
        <f t="shared" si="9"/>
        <v>292.84482106512047</v>
      </c>
      <c r="H17" s="2">
        <v>-0.46731</v>
      </c>
      <c r="I17" s="1">
        <v>0.82954000000000006</v>
      </c>
      <c r="J17" s="1">
        <f t="shared" si="10"/>
        <v>0.38765233740000005</v>
      </c>
      <c r="K17" s="3">
        <f t="shared" si="11"/>
        <v>308.48392849168613</v>
      </c>
      <c r="O17">
        <v>-0.13804</v>
      </c>
      <c r="P17">
        <v>1.0722799999999999</v>
      </c>
      <c r="Q17" s="1">
        <f t="shared" si="0"/>
        <v>0.14801753119999997</v>
      </c>
      <c r="R17" s="3">
        <f t="shared" si="1"/>
        <v>117.78860877369419</v>
      </c>
      <c r="X17">
        <v>1.2103299999999999</v>
      </c>
      <c r="AC17">
        <v>-0.13575999999999999</v>
      </c>
      <c r="AD17">
        <v>1.21896</v>
      </c>
      <c r="AE17" s="1">
        <f t="shared" si="2"/>
        <v>0.16548600959999998</v>
      </c>
      <c r="AF17" s="3">
        <f t="shared" si="3"/>
        <v>131.68958220196421</v>
      </c>
    </row>
    <row r="18" spans="3:32" x14ac:dyDescent="0.25">
      <c r="C18" s="2">
        <v>-0.67986999999999997</v>
      </c>
      <c r="D18" s="1">
        <v>0.54566999999999999</v>
      </c>
      <c r="E18" s="1">
        <f t="shared" si="8"/>
        <v>0.37098466289999998</v>
      </c>
      <c r="F18" s="4">
        <f t="shared" si="9"/>
        <v>295.22021455907736</v>
      </c>
      <c r="H18" s="2">
        <v>-0.66347999999999996</v>
      </c>
      <c r="I18" s="1">
        <v>0.61482999999999999</v>
      </c>
      <c r="J18" s="1">
        <f t="shared" si="10"/>
        <v>0.40792740839999997</v>
      </c>
      <c r="K18" s="4">
        <f t="shared" si="11"/>
        <v>324.61831734763172</v>
      </c>
      <c r="O18">
        <v>-0.14882000000000001</v>
      </c>
      <c r="P18">
        <v>1.0608299999999999</v>
      </c>
      <c r="Q18" s="1">
        <f t="shared" si="0"/>
        <v>0.15787272059999999</v>
      </c>
      <c r="R18" s="3">
        <f t="shared" si="1"/>
        <v>125.63111931427846</v>
      </c>
      <c r="X18">
        <v>1.2096499999999999</v>
      </c>
      <c r="AC18">
        <v>-0.14752999999999999</v>
      </c>
      <c r="AD18">
        <v>1.2064699999999999</v>
      </c>
      <c r="AE18" s="1">
        <f t="shared" si="2"/>
        <v>0.17799051909999999</v>
      </c>
      <c r="AF18" s="3">
        <f t="shared" si="3"/>
        <v>141.64035469128706</v>
      </c>
    </row>
    <row r="19" spans="3:32" x14ac:dyDescent="0.25">
      <c r="C19" s="2">
        <v>-0.87580999999999998</v>
      </c>
      <c r="D19" s="1">
        <v>0.33198</v>
      </c>
      <c r="E19" s="1">
        <f t="shared" si="8"/>
        <v>0.29075140379999997</v>
      </c>
      <c r="F19" s="3">
        <f t="shared" si="9"/>
        <v>231.37261562838839</v>
      </c>
      <c r="H19" s="2">
        <v>-0.85994999999999999</v>
      </c>
      <c r="I19" s="1">
        <v>0.40122000000000002</v>
      </c>
      <c r="J19" s="1">
        <f t="shared" si="10"/>
        <v>0.34502913900000004</v>
      </c>
      <c r="K19" s="3">
        <f t="shared" si="11"/>
        <v>274.56546491295325</v>
      </c>
      <c r="O19">
        <v>-0.15795000000000001</v>
      </c>
      <c r="P19">
        <v>1.05054</v>
      </c>
      <c r="Q19" s="1">
        <f t="shared" si="0"/>
        <v>0.16593279300000002</v>
      </c>
      <c r="R19" s="3">
        <f t="shared" si="1"/>
        <v>132.04512113497128</v>
      </c>
      <c r="X19">
        <v>1.2084900000000001</v>
      </c>
      <c r="AC19">
        <v>-0.15853999999999999</v>
      </c>
      <c r="AD19">
        <v>1.1954899999999999</v>
      </c>
      <c r="AE19" s="1">
        <f t="shared" si="2"/>
        <v>0.18953298459999998</v>
      </c>
      <c r="AF19" s="3">
        <f t="shared" si="3"/>
        <v>150.82555689025037</v>
      </c>
    </row>
    <row r="20" spans="3:32" ht="15.75" thickBot="1" x14ac:dyDescent="0.3">
      <c r="C20" s="5">
        <v>-1.07135</v>
      </c>
      <c r="D20" s="6">
        <v>0.11698</v>
      </c>
      <c r="E20" s="6">
        <f t="shared" si="8"/>
        <v>0.125326523</v>
      </c>
      <c r="F20" s="7">
        <f t="shared" si="9"/>
        <v>99.731678179850562</v>
      </c>
      <c r="H20" s="5">
        <v>-1.05572</v>
      </c>
      <c r="I20" s="6">
        <v>0.18495</v>
      </c>
      <c r="J20" s="6">
        <f t="shared" si="10"/>
        <v>0.19525541399999999</v>
      </c>
      <c r="K20" s="7">
        <f t="shared" si="11"/>
        <v>155.37932151777233</v>
      </c>
      <c r="O20">
        <v>-0.16825999999999999</v>
      </c>
      <c r="P20">
        <v>1.0381199999999999</v>
      </c>
      <c r="Q20" s="1">
        <f t="shared" si="0"/>
        <v>0.17467407119999998</v>
      </c>
      <c r="R20" s="3">
        <f t="shared" si="1"/>
        <v>139.00120930732837</v>
      </c>
      <c r="X20">
        <v>1.20638</v>
      </c>
      <c r="AC20">
        <v>-0.16944999999999999</v>
      </c>
      <c r="AD20">
        <v>1.18431</v>
      </c>
      <c r="AE20" s="1">
        <f t="shared" si="2"/>
        <v>0.20068132949999998</v>
      </c>
      <c r="AF20" s="3">
        <f t="shared" si="3"/>
        <v>159.69712788089197</v>
      </c>
    </row>
    <row r="21" spans="3:32" ht="15.75" thickBot="1" x14ac:dyDescent="0.3">
      <c r="O21">
        <v>-0.18067</v>
      </c>
      <c r="P21">
        <v>1.02542</v>
      </c>
      <c r="Q21" s="1">
        <f t="shared" si="0"/>
        <v>0.18526263139999999</v>
      </c>
      <c r="R21" s="3">
        <f t="shared" si="1"/>
        <v>147.4273177876089</v>
      </c>
      <c r="X21">
        <v>1.2060999999999999</v>
      </c>
      <c r="AC21">
        <v>-0.18057000000000001</v>
      </c>
      <c r="AD21">
        <v>1.1720299999999999</v>
      </c>
      <c r="AE21" s="1">
        <f t="shared" si="2"/>
        <v>0.21163345710000001</v>
      </c>
      <c r="AF21" s="3">
        <f t="shared" si="3"/>
        <v>168.41255410545787</v>
      </c>
    </row>
    <row r="22" spans="3:32" x14ac:dyDescent="0.25">
      <c r="C22" s="10" t="s">
        <v>14</v>
      </c>
      <c r="D22" s="11"/>
      <c r="E22" s="11"/>
      <c r="F22" s="12"/>
      <c r="O22">
        <v>-0.19142999999999999</v>
      </c>
      <c r="P22">
        <v>1.01389</v>
      </c>
      <c r="Q22" s="1">
        <f t="shared" si="0"/>
        <v>0.19408896269999998</v>
      </c>
      <c r="R22" s="3">
        <f t="shared" si="1"/>
        <v>154.45108906641747</v>
      </c>
      <c r="X22">
        <v>1.2053199999999999</v>
      </c>
      <c r="AC22">
        <v>-0.19028999999999999</v>
      </c>
      <c r="AD22">
        <v>1.1629499999999999</v>
      </c>
      <c r="AE22" s="1">
        <f t="shared" si="2"/>
        <v>0.22129775549999997</v>
      </c>
      <c r="AF22" s="3">
        <f t="shared" si="3"/>
        <v>176.10315841483333</v>
      </c>
    </row>
    <row r="23" spans="3:32" x14ac:dyDescent="0.25">
      <c r="C23" s="2" t="s">
        <v>1</v>
      </c>
      <c r="D23" s="1" t="s">
        <v>2</v>
      </c>
      <c r="E23" s="1" t="s">
        <v>3</v>
      </c>
      <c r="F23" s="3" t="s">
        <v>4</v>
      </c>
      <c r="O23">
        <v>-0.20113</v>
      </c>
      <c r="P23">
        <v>1.00329</v>
      </c>
      <c r="Q23" s="1">
        <f t="shared" si="0"/>
        <v>0.20179171770000001</v>
      </c>
      <c r="R23" s="3">
        <f t="shared" si="1"/>
        <v>160.58074673479655</v>
      </c>
      <c r="X23">
        <v>1.20442</v>
      </c>
      <c r="AC23">
        <v>-0.2001</v>
      </c>
      <c r="AD23">
        <v>1.15256</v>
      </c>
      <c r="AE23" s="1">
        <f t="shared" si="2"/>
        <v>0.230627256</v>
      </c>
      <c r="AF23" s="3">
        <f t="shared" si="3"/>
        <v>183.5273390205999</v>
      </c>
    </row>
    <row r="24" spans="3:32" x14ac:dyDescent="0.25">
      <c r="C24" s="2">
        <v>-3.4959999999999998E-2</v>
      </c>
      <c r="D24" s="1">
        <v>1.3562799999999999</v>
      </c>
      <c r="E24" s="1">
        <f t="shared" ref="E24:E30" si="12">ABS(D24*C24)</f>
        <v>4.7415548799999992E-2</v>
      </c>
      <c r="F24" s="3">
        <f t="shared" ref="F24:F30" si="13">E24/(4*PI()*0.0001)</f>
        <v>37.732094854674926</v>
      </c>
      <c r="O24">
        <v>-0.21156</v>
      </c>
      <c r="P24">
        <v>0.99261999999999995</v>
      </c>
      <c r="Q24" s="1">
        <f t="shared" si="0"/>
        <v>0.20999868719999998</v>
      </c>
      <c r="R24" s="3">
        <f t="shared" si="1"/>
        <v>167.11164555344365</v>
      </c>
      <c r="X24">
        <v>1.20418</v>
      </c>
      <c r="AC24">
        <v>-0.21102000000000001</v>
      </c>
      <c r="AD24">
        <v>1.13991</v>
      </c>
      <c r="AE24" s="1">
        <f t="shared" si="2"/>
        <v>0.24054380820000001</v>
      </c>
      <c r="AF24" s="3">
        <f t="shared" si="3"/>
        <v>191.41868052589396</v>
      </c>
    </row>
    <row r="25" spans="3:32" x14ac:dyDescent="0.25">
      <c r="C25" s="2">
        <v>-0.23269999999999999</v>
      </c>
      <c r="D25" s="1">
        <v>1.1566399999999999</v>
      </c>
      <c r="E25" s="1">
        <f t="shared" si="12"/>
        <v>0.26915012799999999</v>
      </c>
      <c r="F25" s="3">
        <f t="shared" si="13"/>
        <v>214.18286652508172</v>
      </c>
      <c r="O25">
        <v>-0.22226000000000001</v>
      </c>
      <c r="P25">
        <v>0.98104000000000002</v>
      </c>
      <c r="Q25" s="1">
        <f t="shared" si="0"/>
        <v>0.21804595040000002</v>
      </c>
      <c r="R25" s="3">
        <f t="shared" si="1"/>
        <v>173.51545413665119</v>
      </c>
      <c r="X25">
        <v>1.2033</v>
      </c>
      <c r="AC25">
        <v>-0.22167000000000001</v>
      </c>
      <c r="AD25">
        <v>1.1297299999999999</v>
      </c>
      <c r="AE25" s="1">
        <f t="shared" si="2"/>
        <v>0.25042724909999997</v>
      </c>
      <c r="AF25" s="3">
        <f t="shared" si="3"/>
        <v>199.28367289585196</v>
      </c>
    </row>
    <row r="26" spans="3:32" x14ac:dyDescent="0.25">
      <c r="C26" s="2">
        <v>-0.42814000000000002</v>
      </c>
      <c r="D26" s="1">
        <v>0.94594</v>
      </c>
      <c r="E26" s="1">
        <f t="shared" si="12"/>
        <v>0.40499475160000004</v>
      </c>
      <c r="F26" s="8">
        <f t="shared" si="13"/>
        <v>322.28458321707149</v>
      </c>
      <c r="O26">
        <v>-0.2329</v>
      </c>
      <c r="P26">
        <v>0.96935000000000004</v>
      </c>
      <c r="Q26" s="1">
        <f t="shared" si="0"/>
        <v>0.225761615</v>
      </c>
      <c r="R26" s="3">
        <f t="shared" si="1"/>
        <v>179.65538493829692</v>
      </c>
      <c r="X26">
        <v>1.20225</v>
      </c>
      <c r="AC26">
        <v>-0.23258000000000001</v>
      </c>
      <c r="AD26">
        <v>1.1185499999999999</v>
      </c>
      <c r="AE26" s="1">
        <f t="shared" si="2"/>
        <v>0.260152359</v>
      </c>
      <c r="AF26" s="3">
        <f t="shared" si="3"/>
        <v>207.02266945933664</v>
      </c>
    </row>
    <row r="27" spans="3:32" x14ac:dyDescent="0.25">
      <c r="C27" s="2">
        <v>-0.62311000000000005</v>
      </c>
      <c r="D27" s="1">
        <v>0.73429999999999995</v>
      </c>
      <c r="E27" s="1">
        <f t="shared" si="12"/>
        <v>0.45754967299999999</v>
      </c>
      <c r="F27" s="4">
        <f t="shared" si="13"/>
        <v>364.10646084015161</v>
      </c>
      <c r="O27">
        <v>-0.24365999999999999</v>
      </c>
      <c r="P27">
        <v>0.95787</v>
      </c>
      <c r="Q27" s="1">
        <f t="shared" si="0"/>
        <v>0.23339460419999999</v>
      </c>
      <c r="R27" s="3">
        <f t="shared" si="1"/>
        <v>185.72952474703217</v>
      </c>
      <c r="X27">
        <v>1.20153</v>
      </c>
      <c r="AC27">
        <v>-0.24276</v>
      </c>
      <c r="AD27">
        <v>1.1073999999999999</v>
      </c>
      <c r="AE27" s="1">
        <f t="shared" si="2"/>
        <v>0.26883242400000001</v>
      </c>
      <c r="AF27" s="3">
        <f t="shared" si="3"/>
        <v>213.9300457148814</v>
      </c>
    </row>
    <row r="28" spans="3:32" x14ac:dyDescent="0.25">
      <c r="C28" s="2">
        <v>-0.81754000000000004</v>
      </c>
      <c r="D28" s="1">
        <v>0.52127000000000001</v>
      </c>
      <c r="E28" s="1">
        <f t="shared" si="12"/>
        <v>0.42615907580000001</v>
      </c>
      <c r="F28" s="8">
        <f t="shared" si="13"/>
        <v>339.12661728521857</v>
      </c>
      <c r="O28">
        <v>-0.25435000000000002</v>
      </c>
      <c r="P28">
        <v>0.94621999999999995</v>
      </c>
      <c r="Q28" s="1">
        <f t="shared" si="0"/>
        <v>0.24067105699999999</v>
      </c>
      <c r="R28" s="3">
        <f t="shared" si="1"/>
        <v>191.51994190350649</v>
      </c>
      <c r="X28">
        <v>1.2005600000000001</v>
      </c>
      <c r="AC28">
        <v>-0.25219999999999998</v>
      </c>
      <c r="AD28">
        <v>1.09778</v>
      </c>
      <c r="AE28" s="1">
        <f t="shared" si="2"/>
        <v>0.27686011599999999</v>
      </c>
      <c r="AF28" s="3">
        <f t="shared" si="3"/>
        <v>220.31828003197771</v>
      </c>
    </row>
    <row r="29" spans="3:32" x14ac:dyDescent="0.25">
      <c r="C29" s="2">
        <v>-1.0032099999999999</v>
      </c>
      <c r="D29" s="1">
        <v>0.29365999999999998</v>
      </c>
      <c r="E29" s="1">
        <f t="shared" si="12"/>
        <v>0.29460264859999996</v>
      </c>
      <c r="F29" s="3">
        <f t="shared" si="13"/>
        <v>234.43733886327317</v>
      </c>
      <c r="O29">
        <v>-0.26561000000000001</v>
      </c>
      <c r="P29">
        <v>0.93423</v>
      </c>
      <c r="Q29" s="1">
        <f t="shared" si="0"/>
        <v>0.2481408303</v>
      </c>
      <c r="R29" s="3">
        <f t="shared" si="1"/>
        <v>197.4641986258608</v>
      </c>
      <c r="X29">
        <v>1.19984</v>
      </c>
      <c r="AC29">
        <v>-0.26316000000000001</v>
      </c>
      <c r="AD29">
        <v>1.08667</v>
      </c>
      <c r="AE29" s="1">
        <f t="shared" si="2"/>
        <v>0.2859680772</v>
      </c>
      <c r="AF29" s="3">
        <f t="shared" si="3"/>
        <v>227.56616526432367</v>
      </c>
    </row>
    <row r="30" spans="3:32" ht="15.75" thickBot="1" x14ac:dyDescent="0.3">
      <c r="C30" s="5">
        <v>-1.09674</v>
      </c>
      <c r="D30" s="6">
        <v>-0.10124</v>
      </c>
      <c r="E30" s="6">
        <f t="shared" si="12"/>
        <v>0.1110339576</v>
      </c>
      <c r="F30" s="7">
        <f t="shared" si="13"/>
        <v>88.358016015479606</v>
      </c>
      <c r="O30">
        <v>-0.27589000000000002</v>
      </c>
      <c r="P30">
        <v>0.92327000000000004</v>
      </c>
      <c r="Q30" s="1">
        <f t="shared" si="0"/>
        <v>0.25472096030000002</v>
      </c>
      <c r="R30" s="3">
        <f t="shared" si="1"/>
        <v>202.70049970429719</v>
      </c>
      <c r="X30">
        <v>1.19916</v>
      </c>
      <c r="AC30">
        <v>-0.27406000000000003</v>
      </c>
      <c r="AD30">
        <v>1.0754600000000001</v>
      </c>
      <c r="AE30" s="1">
        <f t="shared" si="2"/>
        <v>0.29474056760000006</v>
      </c>
      <c r="AF30" s="3">
        <f t="shared" si="3"/>
        <v>234.54709131625472</v>
      </c>
    </row>
    <row r="31" spans="3:32" x14ac:dyDescent="0.25">
      <c r="O31">
        <v>-0.28555999999999998</v>
      </c>
      <c r="P31">
        <v>0.91257999999999995</v>
      </c>
      <c r="Q31" s="1">
        <f t="shared" si="0"/>
        <v>0.26059634479999999</v>
      </c>
      <c r="R31" s="3">
        <f t="shared" si="1"/>
        <v>207.37598213299967</v>
      </c>
      <c r="X31">
        <v>1.19814</v>
      </c>
      <c r="AC31">
        <v>-0.28458</v>
      </c>
      <c r="AD31">
        <v>1.0635600000000001</v>
      </c>
      <c r="AE31" s="1">
        <f t="shared" si="2"/>
        <v>0.3026679048</v>
      </c>
      <c r="AF31" s="3">
        <f t="shared" si="3"/>
        <v>240.85546582093599</v>
      </c>
    </row>
    <row r="32" spans="3:32" x14ac:dyDescent="0.25">
      <c r="O32">
        <v>-0.29644999999999999</v>
      </c>
      <c r="P32">
        <v>0.89980000000000004</v>
      </c>
      <c r="Q32" s="1">
        <f t="shared" si="0"/>
        <v>0.26674571000000002</v>
      </c>
      <c r="R32" s="3">
        <f t="shared" si="1"/>
        <v>212.26949147528612</v>
      </c>
      <c r="X32">
        <v>1.19625</v>
      </c>
      <c r="AC32">
        <v>-0.29646</v>
      </c>
      <c r="AD32">
        <v>1.05139</v>
      </c>
      <c r="AE32" s="1">
        <f t="shared" si="2"/>
        <v>0.31169507940000002</v>
      </c>
      <c r="AF32" s="3">
        <f t="shared" si="3"/>
        <v>248.03906311965403</v>
      </c>
    </row>
    <row r="33" spans="15:32" x14ac:dyDescent="0.25">
      <c r="O33">
        <v>-0.30763000000000001</v>
      </c>
      <c r="P33">
        <v>0.88766999999999996</v>
      </c>
      <c r="Q33" s="1">
        <f t="shared" si="0"/>
        <v>0.27307392209999998</v>
      </c>
      <c r="R33" s="3">
        <f t="shared" si="1"/>
        <v>217.3053226585308</v>
      </c>
      <c r="X33">
        <v>1.1953</v>
      </c>
      <c r="AC33">
        <v>-0.30745</v>
      </c>
      <c r="AD33">
        <v>1.04036</v>
      </c>
      <c r="AE33" s="1">
        <f t="shared" si="2"/>
        <v>0.31985868200000001</v>
      </c>
      <c r="AF33" s="3">
        <f t="shared" si="3"/>
        <v>254.53545165579325</v>
      </c>
    </row>
    <row r="34" spans="15:32" x14ac:dyDescent="0.25">
      <c r="O34">
        <v>-0.31798999999999999</v>
      </c>
      <c r="P34">
        <v>0.87692999999999999</v>
      </c>
      <c r="Q34" s="1">
        <f t="shared" si="0"/>
        <v>0.27885497069999998</v>
      </c>
      <c r="R34" s="3">
        <f t="shared" si="1"/>
        <v>221.9057349632532</v>
      </c>
      <c r="X34">
        <v>1.19492</v>
      </c>
      <c r="AC34">
        <v>-0.31725999999999999</v>
      </c>
      <c r="AD34">
        <v>1.03</v>
      </c>
      <c r="AE34" s="1">
        <f t="shared" si="2"/>
        <v>0.32677780000000001</v>
      </c>
      <c r="AF34" s="3">
        <f t="shared" si="3"/>
        <v>260.04151081347379</v>
      </c>
    </row>
    <row r="35" spans="15:32" x14ac:dyDescent="0.25">
      <c r="O35">
        <v>-0.32866000000000001</v>
      </c>
      <c r="P35">
        <v>0.86524000000000001</v>
      </c>
      <c r="Q35" s="1">
        <f t="shared" si="0"/>
        <v>0.2843697784</v>
      </c>
      <c r="R35" s="3">
        <f t="shared" si="1"/>
        <v>226.29427949153444</v>
      </c>
      <c r="X35">
        <v>1.1938899999999999</v>
      </c>
      <c r="AC35">
        <v>-0.32774999999999999</v>
      </c>
      <c r="AD35">
        <v>1.01949</v>
      </c>
      <c r="AE35" s="1">
        <f t="shared" si="2"/>
        <v>0.33413784749999997</v>
      </c>
      <c r="AF35" s="3">
        <f t="shared" si="3"/>
        <v>265.89845051855451</v>
      </c>
    </row>
    <row r="36" spans="15:32" x14ac:dyDescent="0.25">
      <c r="O36">
        <v>-0.33898</v>
      </c>
      <c r="P36">
        <v>0.85438000000000003</v>
      </c>
      <c r="Q36" s="1">
        <f t="shared" si="0"/>
        <v>0.28961773239999999</v>
      </c>
      <c r="R36" s="3">
        <f t="shared" si="1"/>
        <v>230.47046859262886</v>
      </c>
      <c r="X36">
        <v>1.19336</v>
      </c>
      <c r="AC36">
        <v>-0.33804000000000001</v>
      </c>
      <c r="AD36">
        <v>1.00857</v>
      </c>
      <c r="AE36" s="1">
        <f t="shared" si="2"/>
        <v>0.3409370028</v>
      </c>
      <c r="AF36" s="3">
        <f t="shared" si="3"/>
        <v>271.30904639277679</v>
      </c>
    </row>
    <row r="37" spans="15:32" x14ac:dyDescent="0.25">
      <c r="O37">
        <v>-0.34810999999999998</v>
      </c>
      <c r="P37">
        <v>0.84411999999999998</v>
      </c>
      <c r="Q37" s="1">
        <f t="shared" si="0"/>
        <v>0.2938466132</v>
      </c>
      <c r="R37" s="3">
        <f t="shared" si="1"/>
        <v>233.83570500796091</v>
      </c>
      <c r="X37">
        <v>1.1922299999999999</v>
      </c>
      <c r="AC37">
        <v>-0.34823999999999999</v>
      </c>
      <c r="AD37">
        <v>0.99746000000000001</v>
      </c>
      <c r="AE37" s="1">
        <f t="shared" si="2"/>
        <v>0.34735547039999998</v>
      </c>
      <c r="AF37" s="3">
        <f t="shared" si="3"/>
        <v>276.41670062085268</v>
      </c>
    </row>
    <row r="38" spans="15:32" x14ac:dyDescent="0.25">
      <c r="O38">
        <v>-0.35781000000000002</v>
      </c>
      <c r="P38">
        <v>0.83350999999999997</v>
      </c>
      <c r="Q38" s="1">
        <f t="shared" si="0"/>
        <v>0.29823821309999998</v>
      </c>
      <c r="R38" s="3">
        <f t="shared" si="1"/>
        <v>237.33042916879526</v>
      </c>
      <c r="X38">
        <v>1.1913199999999999</v>
      </c>
      <c r="AC38">
        <v>-0.35864000000000001</v>
      </c>
      <c r="AD38">
        <v>0.98677000000000004</v>
      </c>
      <c r="AE38" s="1">
        <f t="shared" si="2"/>
        <v>0.35389519280000004</v>
      </c>
      <c r="AF38" s="3">
        <f t="shared" si="3"/>
        <v>281.62084635289671</v>
      </c>
    </row>
    <row r="39" spans="15:32" x14ac:dyDescent="0.25">
      <c r="O39">
        <v>-0.36714999999999998</v>
      </c>
      <c r="P39">
        <v>0.82369000000000003</v>
      </c>
      <c r="Q39" s="1">
        <f t="shared" si="0"/>
        <v>0.30241778349999998</v>
      </c>
      <c r="R39" s="3">
        <f t="shared" si="1"/>
        <v>240.65642561459811</v>
      </c>
      <c r="X39">
        <v>1.1908399999999999</v>
      </c>
      <c r="AC39">
        <v>-0.36786000000000002</v>
      </c>
      <c r="AD39">
        <v>0.97675000000000001</v>
      </c>
      <c r="AE39" s="1">
        <f t="shared" si="2"/>
        <v>0.35930725500000005</v>
      </c>
      <c r="AF39" s="3">
        <f t="shared" si="3"/>
        <v>285.92762861015069</v>
      </c>
    </row>
    <row r="40" spans="15:32" x14ac:dyDescent="0.25">
      <c r="O40">
        <v>-0.37709999999999999</v>
      </c>
      <c r="P40">
        <v>0.81206</v>
      </c>
      <c r="Q40" s="1">
        <f t="shared" si="0"/>
        <v>0.30622782599999998</v>
      </c>
      <c r="R40" s="3">
        <f t="shared" si="1"/>
        <v>243.68836110092414</v>
      </c>
      <c r="X40">
        <v>1.18916</v>
      </c>
      <c r="AC40">
        <v>-0.37845000000000001</v>
      </c>
      <c r="AD40">
        <v>0.96647000000000005</v>
      </c>
      <c r="AE40" s="1">
        <f t="shared" si="2"/>
        <v>0.36576057150000002</v>
      </c>
      <c r="AF40" s="3">
        <f t="shared" si="3"/>
        <v>291.06301471170809</v>
      </c>
    </row>
    <row r="41" spans="15:32" x14ac:dyDescent="0.25">
      <c r="O41">
        <v>-0.38727</v>
      </c>
      <c r="P41">
        <v>0.80088999999999999</v>
      </c>
      <c r="Q41" s="1">
        <f t="shared" si="0"/>
        <v>0.3101606703</v>
      </c>
      <c r="R41" s="3">
        <f t="shared" si="1"/>
        <v>246.81801915470308</v>
      </c>
      <c r="X41">
        <v>1.1881600000000001</v>
      </c>
      <c r="AC41">
        <v>-0.38967000000000002</v>
      </c>
      <c r="AD41">
        <v>0.95442000000000005</v>
      </c>
      <c r="AE41" s="1">
        <f t="shared" si="2"/>
        <v>0.37190884140000002</v>
      </c>
      <c r="AF41" s="3">
        <f t="shared" si="3"/>
        <v>295.9556524419487</v>
      </c>
    </row>
    <row r="42" spans="15:32" x14ac:dyDescent="0.25">
      <c r="O42">
        <v>-0.39645999999999998</v>
      </c>
      <c r="P42">
        <v>0.79073000000000004</v>
      </c>
      <c r="Q42" s="1">
        <f t="shared" si="0"/>
        <v>0.31349281579999999</v>
      </c>
      <c r="R42" s="3">
        <f t="shared" si="1"/>
        <v>249.46965629183515</v>
      </c>
      <c r="X42">
        <v>1.1871799999999999</v>
      </c>
      <c r="AC42">
        <v>-0.39992</v>
      </c>
      <c r="AD42">
        <v>0.94343999999999995</v>
      </c>
      <c r="AE42" s="1">
        <f t="shared" si="2"/>
        <v>0.37730052479999998</v>
      </c>
      <c r="AF42" s="3">
        <f t="shared" si="3"/>
        <v>300.2462177654312</v>
      </c>
    </row>
    <row r="43" spans="15:32" x14ac:dyDescent="0.25">
      <c r="O43">
        <v>-0.40716000000000002</v>
      </c>
      <c r="P43">
        <v>0.77915999999999996</v>
      </c>
      <c r="Q43" s="1">
        <f t="shared" si="0"/>
        <v>0.31724278560000002</v>
      </c>
      <c r="R43" s="3">
        <f t="shared" si="1"/>
        <v>252.45378744241179</v>
      </c>
      <c r="X43">
        <v>1.18632</v>
      </c>
      <c r="AC43">
        <v>-0.41036</v>
      </c>
      <c r="AD43">
        <v>0.93284</v>
      </c>
      <c r="AE43" s="1">
        <f t="shared" si="2"/>
        <v>0.3828002224</v>
      </c>
      <c r="AF43" s="3">
        <f t="shared" si="3"/>
        <v>304.62273805818438</v>
      </c>
    </row>
    <row r="44" spans="15:32" x14ac:dyDescent="0.25">
      <c r="O44">
        <v>-0.41742000000000001</v>
      </c>
      <c r="P44">
        <v>0.76819000000000004</v>
      </c>
      <c r="Q44" s="1">
        <f t="shared" si="0"/>
        <v>0.32065786980000005</v>
      </c>
      <c r="R44" s="3">
        <f t="shared" si="1"/>
        <v>255.17142509993698</v>
      </c>
      <c r="X44">
        <v>1.1856100000000001</v>
      </c>
      <c r="AC44">
        <v>-0.42104000000000003</v>
      </c>
      <c r="AD44">
        <v>0.92122000000000004</v>
      </c>
      <c r="AE44" s="1">
        <f t="shared" si="2"/>
        <v>0.38787046880000003</v>
      </c>
      <c r="AF44" s="3">
        <f t="shared" si="3"/>
        <v>308.65751194445386</v>
      </c>
    </row>
    <row r="45" spans="15:32" x14ac:dyDescent="0.25">
      <c r="O45">
        <v>-0.4274</v>
      </c>
      <c r="P45">
        <v>0.75661999999999996</v>
      </c>
      <c r="Q45" s="1">
        <f t="shared" si="0"/>
        <v>0.32337938799999999</v>
      </c>
      <c r="R45" s="3">
        <f t="shared" si="1"/>
        <v>257.33714047115973</v>
      </c>
      <c r="X45">
        <v>1.1840200000000001</v>
      </c>
      <c r="AC45">
        <v>-0.43165999999999999</v>
      </c>
      <c r="AD45">
        <v>0.91095000000000004</v>
      </c>
      <c r="AE45" s="1">
        <f t="shared" si="2"/>
        <v>0.39322067700000002</v>
      </c>
      <c r="AF45" s="3">
        <f t="shared" si="3"/>
        <v>312.9150723524578</v>
      </c>
    </row>
    <row r="46" spans="15:32" x14ac:dyDescent="0.25">
      <c r="O46">
        <v>-0.43886999999999998</v>
      </c>
      <c r="P46">
        <v>0.74509999999999998</v>
      </c>
      <c r="Q46" s="1">
        <f t="shared" si="0"/>
        <v>0.32700203699999997</v>
      </c>
      <c r="R46" s="3">
        <f t="shared" si="1"/>
        <v>260.21995294834426</v>
      </c>
      <c r="X46">
        <v>1.18397</v>
      </c>
      <c r="AC46">
        <v>-0.44218000000000002</v>
      </c>
      <c r="AD46">
        <v>0.89900999999999998</v>
      </c>
      <c r="AE46" s="1">
        <f t="shared" si="2"/>
        <v>0.39752424180000001</v>
      </c>
      <c r="AF46" s="3">
        <f t="shared" si="3"/>
        <v>316.33974040663924</v>
      </c>
    </row>
    <row r="47" spans="15:32" x14ac:dyDescent="0.25">
      <c r="O47">
        <v>-0.44862000000000002</v>
      </c>
      <c r="P47">
        <v>0.73458999999999997</v>
      </c>
      <c r="Q47" s="1">
        <f t="shared" si="0"/>
        <v>0.32955176580000001</v>
      </c>
      <c r="R47" s="3">
        <f t="shared" si="1"/>
        <v>262.24896265866312</v>
      </c>
      <c r="X47">
        <v>1.1832100000000001</v>
      </c>
      <c r="AC47">
        <v>-0.45372000000000001</v>
      </c>
      <c r="AD47">
        <v>0.88761999999999996</v>
      </c>
      <c r="AE47" s="1">
        <f t="shared" si="2"/>
        <v>0.40273094640000001</v>
      </c>
      <c r="AF47" s="3">
        <f t="shared" si="3"/>
        <v>320.48310427818581</v>
      </c>
    </row>
    <row r="48" spans="15:32" x14ac:dyDescent="0.25">
      <c r="O48">
        <v>-0.45826</v>
      </c>
      <c r="P48">
        <v>0.72387000000000001</v>
      </c>
      <c r="Q48" s="1">
        <f t="shared" si="0"/>
        <v>0.33172066620000001</v>
      </c>
      <c r="R48" s="3">
        <f t="shared" si="1"/>
        <v>263.97491875733306</v>
      </c>
      <c r="X48">
        <v>1.18214</v>
      </c>
      <c r="AC48">
        <v>-0.46378999999999998</v>
      </c>
      <c r="AD48">
        <v>0.87626999999999999</v>
      </c>
      <c r="AE48" s="1">
        <f t="shared" si="2"/>
        <v>0.40640526329999999</v>
      </c>
      <c r="AF48" s="3">
        <f t="shared" si="3"/>
        <v>323.40703276379122</v>
      </c>
    </row>
    <row r="49" spans="15:32" x14ac:dyDescent="0.25">
      <c r="O49">
        <v>-0.46945999999999999</v>
      </c>
      <c r="P49">
        <v>0.71179999999999999</v>
      </c>
      <c r="Q49" s="1">
        <f t="shared" si="0"/>
        <v>0.33416162799999999</v>
      </c>
      <c r="R49" s="3">
        <f t="shared" si="1"/>
        <v>265.91737443917549</v>
      </c>
      <c r="X49">
        <v>1.18126</v>
      </c>
      <c r="AC49">
        <v>-0.47421000000000002</v>
      </c>
      <c r="AD49">
        <v>0.86561999999999995</v>
      </c>
      <c r="AE49" s="1">
        <f t="shared" si="2"/>
        <v>0.41048566019999999</v>
      </c>
      <c r="AF49" s="3">
        <f t="shared" si="3"/>
        <v>326.65410944585045</v>
      </c>
    </row>
    <row r="50" spans="15:32" x14ac:dyDescent="0.25">
      <c r="O50">
        <v>-0.48025000000000001</v>
      </c>
      <c r="P50">
        <v>0.70043</v>
      </c>
      <c r="Q50" s="1">
        <f t="shared" si="0"/>
        <v>0.33638150750000001</v>
      </c>
      <c r="R50" s="3">
        <f t="shared" si="1"/>
        <v>267.68389841664236</v>
      </c>
      <c r="X50">
        <v>1.18068</v>
      </c>
      <c r="AC50">
        <v>-0.48431000000000002</v>
      </c>
      <c r="AD50">
        <v>0.85582000000000003</v>
      </c>
      <c r="AE50" s="1">
        <f t="shared" si="2"/>
        <v>0.41448218420000005</v>
      </c>
      <c r="AF50" s="3">
        <f t="shared" si="3"/>
        <v>329.83444219477747</v>
      </c>
    </row>
    <row r="51" spans="15:32" x14ac:dyDescent="0.25">
      <c r="O51">
        <v>-0.49032999999999999</v>
      </c>
      <c r="P51">
        <v>0.68908000000000003</v>
      </c>
      <c r="Q51" s="1">
        <f t="shared" si="0"/>
        <v>0.33787659640000001</v>
      </c>
      <c r="R51" s="3">
        <f t="shared" si="1"/>
        <v>268.87365236062647</v>
      </c>
      <c r="X51">
        <v>1.1794100000000001</v>
      </c>
      <c r="AC51">
        <v>-0.49423</v>
      </c>
      <c r="AD51">
        <v>0.84567000000000003</v>
      </c>
      <c r="AE51" s="1">
        <f t="shared" si="2"/>
        <v>0.4179554841</v>
      </c>
      <c r="AF51" s="3">
        <f t="shared" si="3"/>
        <v>332.59840643440532</v>
      </c>
    </row>
    <row r="52" spans="15:32" x14ac:dyDescent="0.25">
      <c r="O52">
        <v>-0.50066999999999995</v>
      </c>
      <c r="P52">
        <v>0.67671999999999999</v>
      </c>
      <c r="Q52" s="1">
        <f t="shared" si="0"/>
        <v>0.33881340239999996</v>
      </c>
      <c r="R52" s="3">
        <f t="shared" si="1"/>
        <v>269.61913888871715</v>
      </c>
      <c r="X52">
        <v>1.1773899999999999</v>
      </c>
      <c r="AC52">
        <v>-0.50510999999999995</v>
      </c>
      <c r="AD52">
        <v>0.83296000000000003</v>
      </c>
      <c r="AE52" s="1">
        <f t="shared" si="2"/>
        <v>0.42073642559999996</v>
      </c>
      <c r="AF52" s="3">
        <f t="shared" si="3"/>
        <v>334.81140936527726</v>
      </c>
    </row>
    <row r="53" spans="15:32" x14ac:dyDescent="0.25">
      <c r="O53">
        <v>-0.51136999999999999</v>
      </c>
      <c r="P53">
        <v>0.66510000000000002</v>
      </c>
      <c r="Q53" s="1">
        <f t="shared" si="0"/>
        <v>0.34011218700000001</v>
      </c>
      <c r="R53" s="3">
        <f t="shared" si="1"/>
        <v>270.65267883422536</v>
      </c>
      <c r="X53">
        <v>1.1764699999999999</v>
      </c>
      <c r="AC53">
        <v>-0.51607000000000003</v>
      </c>
      <c r="AD53">
        <v>0.82191999999999998</v>
      </c>
      <c r="AE53" s="1">
        <f t="shared" si="2"/>
        <v>0.4241682544</v>
      </c>
      <c r="AF53" s="3">
        <f t="shared" si="3"/>
        <v>337.54237195210294</v>
      </c>
    </row>
    <row r="54" spans="15:32" x14ac:dyDescent="0.25">
      <c r="O54">
        <v>-0.52198</v>
      </c>
      <c r="P54">
        <v>0.65332000000000001</v>
      </c>
      <c r="Q54" s="1">
        <f t="shared" si="0"/>
        <v>0.34101997360000003</v>
      </c>
      <c r="R54" s="3">
        <f t="shared" si="1"/>
        <v>271.37507245753829</v>
      </c>
      <c r="X54">
        <v>1.1753</v>
      </c>
      <c r="AC54">
        <v>-0.52637999999999996</v>
      </c>
      <c r="AD54">
        <v>0.81111</v>
      </c>
      <c r="AE54" s="1">
        <f t="shared" si="2"/>
        <v>0.42695208179999994</v>
      </c>
      <c r="AF54" s="3">
        <f t="shared" si="3"/>
        <v>339.75767140922619</v>
      </c>
    </row>
    <row r="55" spans="15:32" x14ac:dyDescent="0.25">
      <c r="O55">
        <v>-0.53264</v>
      </c>
      <c r="P55">
        <v>0.64165000000000005</v>
      </c>
      <c r="Q55" s="1">
        <f t="shared" si="0"/>
        <v>0.34176845600000005</v>
      </c>
      <c r="R55" s="3">
        <f t="shared" si="1"/>
        <v>271.97069582642473</v>
      </c>
      <c r="X55">
        <v>1.17428</v>
      </c>
      <c r="AC55">
        <v>-0.53791</v>
      </c>
      <c r="AD55">
        <v>0.79974999999999996</v>
      </c>
      <c r="AE55" s="1">
        <f t="shared" si="2"/>
        <v>0.43019352249999998</v>
      </c>
      <c r="AF55" s="3">
        <f t="shared" si="3"/>
        <v>342.33712795994745</v>
      </c>
    </row>
    <row r="56" spans="15:32" x14ac:dyDescent="0.25">
      <c r="O56">
        <v>-0.54124000000000005</v>
      </c>
      <c r="P56">
        <v>0.63244999999999996</v>
      </c>
      <c r="Q56" s="1">
        <f t="shared" si="0"/>
        <v>0.34230723800000001</v>
      </c>
      <c r="R56" s="3">
        <f t="shared" si="1"/>
        <v>272.39944491916941</v>
      </c>
      <c r="X56">
        <v>1.1736899999999999</v>
      </c>
      <c r="AC56">
        <v>-0.54793999999999998</v>
      </c>
      <c r="AD56">
        <v>0.78881999999999997</v>
      </c>
      <c r="AE56" s="1">
        <f t="shared" si="2"/>
        <v>0.43222603079999999</v>
      </c>
      <c r="AF56" s="3">
        <f t="shared" si="3"/>
        <v>343.95454667404903</v>
      </c>
    </row>
    <row r="57" spans="15:32" x14ac:dyDescent="0.25">
      <c r="O57">
        <v>-0.55023999999999995</v>
      </c>
      <c r="P57">
        <v>0.62250000000000005</v>
      </c>
      <c r="Q57" s="1">
        <f t="shared" si="0"/>
        <v>0.34252440000000001</v>
      </c>
      <c r="R57" s="3">
        <f t="shared" si="1"/>
        <v>272.572256947928</v>
      </c>
      <c r="X57">
        <v>1.1727399999999999</v>
      </c>
      <c r="AC57">
        <v>-0.55788000000000004</v>
      </c>
      <c r="AD57">
        <v>0.77876000000000001</v>
      </c>
      <c r="AE57" s="1">
        <f t="shared" si="2"/>
        <v>0.43445462880000002</v>
      </c>
      <c r="AF57" s="3">
        <f t="shared" si="3"/>
        <v>345.72800861337259</v>
      </c>
    </row>
    <row r="58" spans="15:32" x14ac:dyDescent="0.25">
      <c r="O58">
        <v>-0.56091000000000002</v>
      </c>
      <c r="P58">
        <v>0.61026999999999998</v>
      </c>
      <c r="Q58" s="1">
        <f t="shared" si="0"/>
        <v>0.34230654570000002</v>
      </c>
      <c r="R58" s="3">
        <f t="shared" si="1"/>
        <v>272.3988940043339</v>
      </c>
      <c r="X58">
        <v>1.17117</v>
      </c>
      <c r="AC58">
        <v>-0.56943999999999995</v>
      </c>
      <c r="AD58">
        <v>0.76683999999999997</v>
      </c>
      <c r="AE58" s="1">
        <f t="shared" si="2"/>
        <v>0.43666936959999991</v>
      </c>
      <c r="AF58" s="3">
        <f t="shared" si="3"/>
        <v>347.49044334330898</v>
      </c>
    </row>
    <row r="59" spans="15:32" x14ac:dyDescent="0.25">
      <c r="O59">
        <v>-0.57140000000000002</v>
      </c>
      <c r="P59">
        <v>0.59904999999999997</v>
      </c>
      <c r="Q59" s="1">
        <f t="shared" si="0"/>
        <v>0.34229716999999998</v>
      </c>
      <c r="R59" s="3">
        <f t="shared" si="1"/>
        <v>272.39143305933413</v>
      </c>
      <c r="X59">
        <v>1.17045</v>
      </c>
      <c r="AC59">
        <v>-0.58009999999999995</v>
      </c>
      <c r="AD59">
        <v>0.75509000000000004</v>
      </c>
      <c r="AE59" s="1">
        <f t="shared" si="2"/>
        <v>0.43802770899999999</v>
      </c>
      <c r="AF59" s="3">
        <f t="shared" si="3"/>
        <v>348.57137549284147</v>
      </c>
    </row>
    <row r="60" spans="15:32" x14ac:dyDescent="0.25">
      <c r="O60">
        <v>-0.58316000000000001</v>
      </c>
      <c r="P60">
        <v>0.58638000000000001</v>
      </c>
      <c r="Q60" s="1">
        <f t="shared" si="0"/>
        <v>0.34195336079999999</v>
      </c>
      <c r="R60" s="3">
        <f t="shared" si="1"/>
        <v>272.1178383910318</v>
      </c>
      <c r="X60">
        <v>1.16954</v>
      </c>
      <c r="AC60">
        <v>-0.59021999999999997</v>
      </c>
      <c r="AD60">
        <v>0.74387999999999999</v>
      </c>
      <c r="AE60" s="1">
        <f t="shared" si="2"/>
        <v>0.43905285359999996</v>
      </c>
      <c r="AF60" s="3">
        <f t="shared" si="3"/>
        <v>349.38715964521123</v>
      </c>
    </row>
    <row r="61" spans="15:32" x14ac:dyDescent="0.25">
      <c r="O61">
        <v>-0.59455999999999998</v>
      </c>
      <c r="P61">
        <v>0.57315000000000005</v>
      </c>
      <c r="Q61" s="1">
        <f t="shared" si="0"/>
        <v>0.34077206400000004</v>
      </c>
      <c r="R61" s="3">
        <f t="shared" si="1"/>
        <v>271.17779226613862</v>
      </c>
      <c r="X61">
        <v>1.1677200000000001</v>
      </c>
      <c r="AC61">
        <v>-0.60150000000000003</v>
      </c>
      <c r="AD61">
        <v>0.73351</v>
      </c>
      <c r="AE61" s="1">
        <f t="shared" si="2"/>
        <v>0.44120626500000004</v>
      </c>
      <c r="AF61" s="3">
        <f t="shared" si="3"/>
        <v>351.10078998931351</v>
      </c>
    </row>
    <row r="62" spans="15:32" x14ac:dyDescent="0.25">
      <c r="O62">
        <v>-0.60492999999999997</v>
      </c>
      <c r="P62">
        <v>0.56245000000000001</v>
      </c>
      <c r="Q62" s="1">
        <f t="shared" si="0"/>
        <v>0.34024287850000001</v>
      </c>
      <c r="R62" s="3">
        <f t="shared" si="1"/>
        <v>270.75667982545082</v>
      </c>
      <c r="X62">
        <v>1.1673899999999999</v>
      </c>
      <c r="AC62">
        <v>-0.61155999999999999</v>
      </c>
      <c r="AD62">
        <v>0.72219</v>
      </c>
      <c r="AE62" s="1">
        <f t="shared" si="2"/>
        <v>0.44166251639999998</v>
      </c>
      <c r="AF62" s="3">
        <f t="shared" si="3"/>
        <v>351.46386331732646</v>
      </c>
    </row>
    <row r="63" spans="15:32" x14ac:dyDescent="0.25">
      <c r="O63">
        <v>-0.62411000000000005</v>
      </c>
      <c r="P63">
        <v>0.54086999999999996</v>
      </c>
      <c r="Q63" s="1">
        <f t="shared" si="0"/>
        <v>0.33756237570000003</v>
      </c>
      <c r="R63" s="3">
        <f t="shared" si="1"/>
        <v>268.6236034724925</v>
      </c>
      <c r="X63">
        <v>1.1649700000000001</v>
      </c>
      <c r="AC63">
        <v>-0.62182000000000004</v>
      </c>
      <c r="AD63">
        <v>0.71125000000000005</v>
      </c>
      <c r="AE63" s="1">
        <f t="shared" si="2"/>
        <v>0.44226947500000008</v>
      </c>
      <c r="AF63" s="3">
        <f t="shared" si="3"/>
        <v>351.94686562453722</v>
      </c>
    </row>
    <row r="64" spans="15:32" x14ac:dyDescent="0.25">
      <c r="O64">
        <v>-0.63083</v>
      </c>
      <c r="P64">
        <v>0.53332999999999997</v>
      </c>
      <c r="Q64" s="1">
        <f t="shared" si="0"/>
        <v>0.33644056389999999</v>
      </c>
      <c r="R64" s="3">
        <f t="shared" si="1"/>
        <v>267.7308940065484</v>
      </c>
      <c r="X64">
        <v>1.1641600000000001</v>
      </c>
      <c r="AC64">
        <v>-0.63244</v>
      </c>
      <c r="AD64">
        <v>0.69954000000000005</v>
      </c>
      <c r="AE64" s="1">
        <f t="shared" si="2"/>
        <v>0.44241707760000004</v>
      </c>
      <c r="AF64" s="3">
        <f t="shared" si="3"/>
        <v>352.06432404155328</v>
      </c>
    </row>
    <row r="65" spans="15:32" x14ac:dyDescent="0.25">
      <c r="O65">
        <v>-0.64114000000000004</v>
      </c>
      <c r="P65">
        <v>0.52249999999999996</v>
      </c>
      <c r="Q65" s="1">
        <f t="shared" si="0"/>
        <v>0.33499564999999998</v>
      </c>
      <c r="R65" s="3">
        <f t="shared" si="1"/>
        <v>266.58106805891242</v>
      </c>
      <c r="X65">
        <v>1.16364</v>
      </c>
      <c r="AC65">
        <v>-0.64205999999999996</v>
      </c>
      <c r="AD65">
        <v>0.69030999999999998</v>
      </c>
      <c r="AE65" s="1">
        <f t="shared" si="2"/>
        <v>0.44322043859999999</v>
      </c>
      <c r="AF65" s="3">
        <f t="shared" si="3"/>
        <v>352.70361841273944</v>
      </c>
    </row>
    <row r="66" spans="15:32" x14ac:dyDescent="0.25">
      <c r="O66">
        <v>-0.65054999999999996</v>
      </c>
      <c r="P66">
        <v>0.51129999999999998</v>
      </c>
      <c r="Q66" s="1">
        <f t="shared" si="0"/>
        <v>0.33262621499999995</v>
      </c>
      <c r="R66" s="3">
        <f t="shared" si="1"/>
        <v>264.69553159598769</v>
      </c>
      <c r="X66">
        <v>1.16185</v>
      </c>
      <c r="AC66">
        <v>-0.65161999999999998</v>
      </c>
      <c r="AD66">
        <v>0.68095000000000006</v>
      </c>
      <c r="AE66" s="1">
        <f t="shared" si="2"/>
        <v>0.44372063900000003</v>
      </c>
      <c r="AF66" s="3">
        <f t="shared" si="3"/>
        <v>353.10166524372221</v>
      </c>
    </row>
    <row r="67" spans="15:32" x14ac:dyDescent="0.25">
      <c r="O67">
        <v>-0.66139999999999999</v>
      </c>
      <c r="P67">
        <v>0.5</v>
      </c>
      <c r="Q67" s="1">
        <f t="shared" si="0"/>
        <v>0.33069999999999999</v>
      </c>
      <c r="R67" s="3">
        <f t="shared" si="1"/>
        <v>263.16269840244894</v>
      </c>
      <c r="X67">
        <v>1.1613899999999999</v>
      </c>
      <c r="AC67">
        <v>-0.66164999999999996</v>
      </c>
      <c r="AD67">
        <v>0.66949000000000003</v>
      </c>
      <c r="AE67" s="1">
        <f t="shared" si="2"/>
        <v>0.44296805849999998</v>
      </c>
      <c r="AF67" s="3">
        <f t="shared" si="3"/>
        <v>352.50278071047433</v>
      </c>
    </row>
    <row r="68" spans="15:32" x14ac:dyDescent="0.25">
      <c r="O68">
        <v>-0.67054999999999998</v>
      </c>
      <c r="P68">
        <v>0.48975000000000002</v>
      </c>
      <c r="Q68" s="1">
        <f t="shared" ref="Q68:Q131" si="14">ABS(P68*O68)</f>
        <v>0.32840186249999997</v>
      </c>
      <c r="R68" s="3">
        <f t="shared" ref="R68:R131" si="15">Q68/(4*PI()*0.0001)</f>
        <v>261.33389868729967</v>
      </c>
      <c r="X68">
        <v>1.1603000000000001</v>
      </c>
      <c r="AC68">
        <v>-0.67215000000000003</v>
      </c>
      <c r="AD68">
        <v>0.65902000000000005</v>
      </c>
      <c r="AE68" s="1">
        <f t="shared" ref="AE68:AE123" si="16">ABS(AD68*AC68)</f>
        <v>0.44296029300000006</v>
      </c>
      <c r="AF68" s="3">
        <f t="shared" ref="AF68:AF123" si="17">AE68/(4*PI()*0.0001)</f>
        <v>352.49660112192146</v>
      </c>
    </row>
    <row r="69" spans="15:32" x14ac:dyDescent="0.25">
      <c r="O69">
        <v>-0.68011999999999995</v>
      </c>
      <c r="P69">
        <v>0.47886000000000001</v>
      </c>
      <c r="Q69" s="1">
        <f t="shared" si="14"/>
        <v>0.32568226319999999</v>
      </c>
      <c r="R69" s="3">
        <f t="shared" si="15"/>
        <v>259.16971032817838</v>
      </c>
      <c r="X69">
        <v>1.1589799999999999</v>
      </c>
      <c r="AC69">
        <v>-0.68325000000000002</v>
      </c>
      <c r="AD69">
        <v>0.64676</v>
      </c>
      <c r="AE69" s="1">
        <f t="shared" si="16"/>
        <v>0.44189877</v>
      </c>
      <c r="AF69" s="3">
        <f t="shared" si="17"/>
        <v>351.65186795864275</v>
      </c>
    </row>
    <row r="70" spans="15:32" x14ac:dyDescent="0.25">
      <c r="O70">
        <v>-0.69132000000000005</v>
      </c>
      <c r="P70">
        <v>0.46521000000000001</v>
      </c>
      <c r="Q70" s="1">
        <f t="shared" si="14"/>
        <v>0.32160897720000003</v>
      </c>
      <c r="R70" s="3">
        <f t="shared" si="15"/>
        <v>255.92829232054336</v>
      </c>
      <c r="X70">
        <v>1.1565300000000001</v>
      </c>
      <c r="AC70">
        <v>-0.69454000000000005</v>
      </c>
      <c r="AD70">
        <v>0.63285000000000002</v>
      </c>
      <c r="AE70" s="1">
        <f t="shared" si="16"/>
        <v>0.43953963900000004</v>
      </c>
      <c r="AF70" s="3">
        <f t="shared" si="17"/>
        <v>349.77453115838614</v>
      </c>
    </row>
    <row r="71" spans="15:32" x14ac:dyDescent="0.25">
      <c r="O71">
        <v>-0.70357999999999998</v>
      </c>
      <c r="P71">
        <v>0.45211000000000001</v>
      </c>
      <c r="Q71" s="1">
        <f t="shared" si="14"/>
        <v>0.31809555379999999</v>
      </c>
      <c r="R71" s="3">
        <f t="shared" si="15"/>
        <v>253.13239881411965</v>
      </c>
      <c r="X71">
        <v>1.1556900000000001</v>
      </c>
      <c r="AC71">
        <v>-0.70772000000000002</v>
      </c>
      <c r="AD71">
        <v>0.62078999999999995</v>
      </c>
      <c r="AE71" s="1">
        <f t="shared" si="16"/>
        <v>0.43934549879999996</v>
      </c>
      <c r="AF71" s="3">
        <f t="shared" si="17"/>
        <v>349.62003929597182</v>
      </c>
    </row>
    <row r="72" spans="15:32" x14ac:dyDescent="0.25">
      <c r="O72">
        <v>-0.71516000000000002</v>
      </c>
      <c r="P72">
        <v>0.43911</v>
      </c>
      <c r="Q72" s="1">
        <f t="shared" si="14"/>
        <v>0.3140339076</v>
      </c>
      <c r="R72" s="3">
        <f t="shared" si="15"/>
        <v>249.90024346501761</v>
      </c>
      <c r="X72">
        <v>1.15428</v>
      </c>
      <c r="AC72">
        <v>-0.71948999999999996</v>
      </c>
      <c r="AD72">
        <v>0.60887000000000002</v>
      </c>
      <c r="AE72" s="1">
        <f t="shared" si="16"/>
        <v>0.4380758763</v>
      </c>
      <c r="AF72" s="3">
        <f t="shared" si="17"/>
        <v>348.60970581229344</v>
      </c>
    </row>
    <row r="73" spans="15:32" x14ac:dyDescent="0.25">
      <c r="O73">
        <v>-0.72589999999999999</v>
      </c>
      <c r="P73">
        <v>0.42754999999999999</v>
      </c>
      <c r="Q73" s="1">
        <f t="shared" si="14"/>
        <v>0.31035854499999999</v>
      </c>
      <c r="R73" s="3">
        <f t="shared" si="15"/>
        <v>246.97548283779219</v>
      </c>
      <c r="X73">
        <v>1.1534500000000001</v>
      </c>
      <c r="AC73">
        <v>-0.73089999999999999</v>
      </c>
      <c r="AD73">
        <v>0.59648000000000001</v>
      </c>
      <c r="AE73" s="1">
        <f t="shared" si="16"/>
        <v>0.43596723199999998</v>
      </c>
      <c r="AF73" s="3">
        <f t="shared" si="17"/>
        <v>346.93169999445564</v>
      </c>
    </row>
    <row r="74" spans="15:32" x14ac:dyDescent="0.25">
      <c r="O74">
        <v>-0.73601000000000005</v>
      </c>
      <c r="P74">
        <v>0.41625000000000001</v>
      </c>
      <c r="Q74" s="1">
        <f t="shared" si="14"/>
        <v>0.30636416250000004</v>
      </c>
      <c r="R74" s="3">
        <f t="shared" si="15"/>
        <v>243.79685424041841</v>
      </c>
      <c r="X74">
        <v>1.1522600000000001</v>
      </c>
      <c r="AC74">
        <v>-0.74145000000000005</v>
      </c>
      <c r="AD74">
        <v>0.58591000000000004</v>
      </c>
      <c r="AE74" s="1">
        <f t="shared" si="16"/>
        <v>0.43442296950000009</v>
      </c>
      <c r="AF74" s="3">
        <f t="shared" si="17"/>
        <v>345.70281494292351</v>
      </c>
    </row>
    <row r="75" spans="15:32" x14ac:dyDescent="0.25">
      <c r="O75">
        <v>-0.74568999999999996</v>
      </c>
      <c r="P75">
        <v>0.40556999999999999</v>
      </c>
      <c r="Q75" s="1">
        <f t="shared" si="14"/>
        <v>0.30242949329999996</v>
      </c>
      <c r="R75" s="3">
        <f t="shared" si="15"/>
        <v>240.66574397736119</v>
      </c>
      <c r="X75">
        <v>1.15126</v>
      </c>
      <c r="AC75">
        <v>-0.75126000000000004</v>
      </c>
      <c r="AD75">
        <v>0.57555999999999996</v>
      </c>
      <c r="AE75" s="1">
        <f t="shared" si="16"/>
        <v>0.4323952056</v>
      </c>
      <c r="AF75" s="3">
        <f t="shared" si="17"/>
        <v>344.08917170238192</v>
      </c>
    </row>
    <row r="76" spans="15:32" x14ac:dyDescent="0.25">
      <c r="O76">
        <v>-0.75695000000000001</v>
      </c>
      <c r="P76">
        <v>0.39360000000000001</v>
      </c>
      <c r="Q76" s="1">
        <f t="shared" si="14"/>
        <v>0.29793552000000001</v>
      </c>
      <c r="R76" s="3">
        <f t="shared" si="15"/>
        <v>237.08955365327125</v>
      </c>
      <c r="X76">
        <v>1.15055</v>
      </c>
      <c r="AC76">
        <v>-0.76398999999999995</v>
      </c>
      <c r="AD76">
        <v>0.56196999999999997</v>
      </c>
      <c r="AE76" s="1">
        <f t="shared" si="16"/>
        <v>0.42933946029999992</v>
      </c>
      <c r="AF76" s="3">
        <f t="shared" si="17"/>
        <v>341.65748685575772</v>
      </c>
    </row>
    <row r="77" spans="15:32" x14ac:dyDescent="0.25">
      <c r="O77">
        <v>-0.76788000000000001</v>
      </c>
      <c r="P77">
        <v>0.38094</v>
      </c>
      <c r="Q77" s="1">
        <f t="shared" si="14"/>
        <v>0.29251620719999999</v>
      </c>
      <c r="R77" s="3">
        <f t="shared" si="15"/>
        <v>232.77700155186534</v>
      </c>
      <c r="X77">
        <v>1.14882</v>
      </c>
      <c r="AC77">
        <v>-0.77488999999999997</v>
      </c>
      <c r="AD77">
        <v>0.55071000000000003</v>
      </c>
      <c r="AE77" s="1">
        <f t="shared" si="16"/>
        <v>0.42673967190000001</v>
      </c>
      <c r="AF77" s="3">
        <f t="shared" si="17"/>
        <v>339.58864098149297</v>
      </c>
    </row>
    <row r="78" spans="15:32" x14ac:dyDescent="0.25">
      <c r="O78">
        <v>-0.77785000000000004</v>
      </c>
      <c r="P78">
        <v>0.36935000000000001</v>
      </c>
      <c r="Q78" s="1">
        <f t="shared" si="14"/>
        <v>0.28729889750000004</v>
      </c>
      <c r="R78" s="3">
        <f t="shared" si="15"/>
        <v>228.62519840988389</v>
      </c>
      <c r="X78">
        <v>1.1472</v>
      </c>
      <c r="AC78">
        <v>-0.78363000000000005</v>
      </c>
      <c r="AD78">
        <v>0.54118999999999995</v>
      </c>
      <c r="AE78" s="1">
        <f t="shared" si="16"/>
        <v>0.42409271970000001</v>
      </c>
      <c r="AF78" s="3">
        <f t="shared" si="17"/>
        <v>337.48226334770311</v>
      </c>
    </row>
    <row r="79" spans="15:32" x14ac:dyDescent="0.25">
      <c r="O79">
        <v>-0.78861000000000003</v>
      </c>
      <c r="P79">
        <v>0.35803000000000001</v>
      </c>
      <c r="Q79" s="1">
        <f t="shared" si="14"/>
        <v>0.28234603830000005</v>
      </c>
      <c r="R79" s="3">
        <f t="shared" si="15"/>
        <v>224.68383828929305</v>
      </c>
      <c r="X79">
        <v>1.1466400000000001</v>
      </c>
      <c r="AC79">
        <v>-0.79313999999999996</v>
      </c>
      <c r="AD79">
        <v>0.53173000000000004</v>
      </c>
      <c r="AE79" s="1">
        <f t="shared" si="16"/>
        <v>0.42173633220000001</v>
      </c>
      <c r="AF79" s="3">
        <f t="shared" si="17"/>
        <v>335.60710975537836</v>
      </c>
    </row>
    <row r="80" spans="15:32" x14ac:dyDescent="0.25">
      <c r="O80">
        <v>-0.79698000000000002</v>
      </c>
      <c r="P80">
        <v>0.34784999999999999</v>
      </c>
      <c r="Q80" s="1">
        <f t="shared" si="14"/>
        <v>0.27722949299999999</v>
      </c>
      <c r="R80" s="3">
        <f t="shared" si="15"/>
        <v>220.61222090905</v>
      </c>
      <c r="X80">
        <v>1.1448199999999999</v>
      </c>
      <c r="AC80">
        <v>-0.80252000000000001</v>
      </c>
      <c r="AD80">
        <v>0.52200999999999997</v>
      </c>
      <c r="AE80" s="1">
        <f t="shared" si="16"/>
        <v>0.41892346520000001</v>
      </c>
      <c r="AF80" s="3">
        <f t="shared" si="17"/>
        <v>333.36870131882802</v>
      </c>
    </row>
    <row r="81" spans="15:32" x14ac:dyDescent="0.25">
      <c r="O81">
        <v>-0.80679000000000001</v>
      </c>
      <c r="P81">
        <v>0.33756999999999998</v>
      </c>
      <c r="Q81" s="1">
        <f t="shared" si="14"/>
        <v>0.27234810030000001</v>
      </c>
      <c r="R81" s="3">
        <f t="shared" si="15"/>
        <v>216.72773202216152</v>
      </c>
      <c r="X81">
        <v>1.14436</v>
      </c>
      <c r="AC81">
        <v>-0.81325999999999998</v>
      </c>
      <c r="AD81">
        <v>0.51049999999999995</v>
      </c>
      <c r="AE81" s="1">
        <f t="shared" si="16"/>
        <v>0.41516922999999994</v>
      </c>
      <c r="AF81" s="3">
        <f t="shared" si="17"/>
        <v>330.38117587078</v>
      </c>
    </row>
    <row r="82" spans="15:32" x14ac:dyDescent="0.25">
      <c r="O82">
        <v>-0.82718999999999998</v>
      </c>
      <c r="P82">
        <v>0.31445000000000001</v>
      </c>
      <c r="Q82" s="1">
        <f t="shared" si="14"/>
        <v>0.26010989550000002</v>
      </c>
      <c r="R82" s="3">
        <f t="shared" si="15"/>
        <v>206.98887807970675</v>
      </c>
      <c r="X82">
        <v>1.14164</v>
      </c>
      <c r="AC82">
        <v>-0.82401999999999997</v>
      </c>
      <c r="AD82">
        <v>0.49903999999999998</v>
      </c>
      <c r="AE82" s="1">
        <f t="shared" si="16"/>
        <v>0.41121894079999999</v>
      </c>
      <c r="AF82" s="3">
        <f t="shared" si="17"/>
        <v>327.23763560666737</v>
      </c>
    </row>
    <row r="83" spans="15:32" x14ac:dyDescent="0.25">
      <c r="O83">
        <v>-0.83235999999999999</v>
      </c>
      <c r="P83">
        <v>0.30819999999999997</v>
      </c>
      <c r="Q83" s="1">
        <f t="shared" si="14"/>
        <v>0.25653335199999999</v>
      </c>
      <c r="R83" s="3">
        <f t="shared" si="15"/>
        <v>204.14275519366578</v>
      </c>
      <c r="X83">
        <v>1.14056</v>
      </c>
      <c r="AC83">
        <v>-0.83462000000000003</v>
      </c>
      <c r="AD83">
        <v>0.48721999999999999</v>
      </c>
      <c r="AE83" s="1">
        <f t="shared" si="16"/>
        <v>0.40664355639999999</v>
      </c>
      <c r="AF83" s="3">
        <f t="shared" si="17"/>
        <v>323.59666038763964</v>
      </c>
    </row>
    <row r="84" spans="15:32" x14ac:dyDescent="0.25">
      <c r="O84">
        <v>-0.84125000000000005</v>
      </c>
      <c r="P84">
        <v>0.29741000000000001</v>
      </c>
      <c r="Q84" s="1">
        <f t="shared" si="14"/>
        <v>0.25019616250000004</v>
      </c>
      <c r="R84" s="3">
        <f t="shared" si="15"/>
        <v>199.09978002249053</v>
      </c>
      <c r="X84">
        <v>1.13866</v>
      </c>
      <c r="AC84">
        <v>-0.84574000000000005</v>
      </c>
      <c r="AD84">
        <v>0.47545999999999999</v>
      </c>
      <c r="AE84" s="1">
        <f t="shared" si="16"/>
        <v>0.40211554040000003</v>
      </c>
      <c r="AF84" s="3">
        <f t="shared" si="17"/>
        <v>319.99337974364374</v>
      </c>
    </row>
    <row r="85" spans="15:32" x14ac:dyDescent="0.25">
      <c r="O85">
        <v>-0.85206999999999999</v>
      </c>
      <c r="P85">
        <v>0.28615000000000002</v>
      </c>
      <c r="Q85" s="1">
        <f t="shared" si="14"/>
        <v>0.2438198305</v>
      </c>
      <c r="R85" s="3">
        <f t="shared" si="15"/>
        <v>194.02565623951534</v>
      </c>
      <c r="X85">
        <v>1.1382099999999999</v>
      </c>
      <c r="AC85">
        <v>-0.85672000000000004</v>
      </c>
      <c r="AD85">
        <v>0.46448</v>
      </c>
      <c r="AE85" s="1">
        <f t="shared" si="16"/>
        <v>0.39792930560000001</v>
      </c>
      <c r="AF85" s="3">
        <f t="shared" si="17"/>
        <v>316.66207993682718</v>
      </c>
    </row>
    <row r="86" spans="15:32" x14ac:dyDescent="0.25">
      <c r="O86">
        <v>-0.86143999999999998</v>
      </c>
      <c r="P86">
        <v>0.27495999999999998</v>
      </c>
      <c r="Q86" s="1">
        <f t="shared" si="14"/>
        <v>0.23686154239999999</v>
      </c>
      <c r="R86" s="3">
        <f t="shared" si="15"/>
        <v>188.48842650665276</v>
      </c>
      <c r="X86">
        <v>1.1364099999999999</v>
      </c>
      <c r="AC86">
        <v>-0.86772000000000005</v>
      </c>
      <c r="AD86">
        <v>0.45301000000000002</v>
      </c>
      <c r="AE86" s="1">
        <f t="shared" si="16"/>
        <v>0.39308583720000007</v>
      </c>
      <c r="AF86" s="3">
        <f t="shared" si="17"/>
        <v>312.80777024898026</v>
      </c>
    </row>
    <row r="87" spans="15:32" x14ac:dyDescent="0.25">
      <c r="O87">
        <v>-0.87011000000000005</v>
      </c>
      <c r="P87">
        <v>0.26536999999999999</v>
      </c>
      <c r="Q87" s="1">
        <f t="shared" si="14"/>
        <v>0.23090109070000001</v>
      </c>
      <c r="R87" s="3">
        <f t="shared" si="15"/>
        <v>183.74524975107533</v>
      </c>
      <c r="X87">
        <v>1.13548</v>
      </c>
      <c r="AC87">
        <v>-0.87921000000000005</v>
      </c>
      <c r="AD87">
        <v>0.43992999999999999</v>
      </c>
      <c r="AE87" s="1">
        <f t="shared" si="16"/>
        <v>0.38679085530000001</v>
      </c>
      <c r="AF87" s="3">
        <f t="shared" si="17"/>
        <v>307.79838281868513</v>
      </c>
    </row>
    <row r="88" spans="15:32" x14ac:dyDescent="0.25">
      <c r="O88">
        <v>-0.89005000000000001</v>
      </c>
      <c r="P88">
        <v>0.24381</v>
      </c>
      <c r="Q88" s="1">
        <f t="shared" si="14"/>
        <v>0.2170030905</v>
      </c>
      <c r="R88" s="3">
        <f t="shared" si="15"/>
        <v>172.68557259646457</v>
      </c>
      <c r="X88">
        <v>1.1338699999999999</v>
      </c>
      <c r="AC88">
        <v>-0.89054999999999995</v>
      </c>
      <c r="AD88">
        <v>0.42815999999999999</v>
      </c>
      <c r="AE88" s="1">
        <f t="shared" si="16"/>
        <v>0.38129788799999997</v>
      </c>
      <c r="AF88" s="3">
        <f t="shared" si="17"/>
        <v>303.42721832849941</v>
      </c>
    </row>
    <row r="89" spans="15:32" x14ac:dyDescent="0.25">
      <c r="O89">
        <v>-0.89476</v>
      </c>
      <c r="P89">
        <v>0.23821000000000001</v>
      </c>
      <c r="Q89" s="1">
        <f t="shared" si="14"/>
        <v>0.2131407796</v>
      </c>
      <c r="R89" s="3">
        <f t="shared" si="15"/>
        <v>169.61204323900103</v>
      </c>
      <c r="X89">
        <v>1.13297</v>
      </c>
      <c r="AC89">
        <v>-0.90112999999999999</v>
      </c>
      <c r="AD89">
        <v>0.41782999999999998</v>
      </c>
      <c r="AE89" s="1">
        <f t="shared" si="16"/>
        <v>0.37651914789999996</v>
      </c>
      <c r="AF89" s="3">
        <f t="shared" si="17"/>
        <v>299.62441778516711</v>
      </c>
    </row>
    <row r="90" spans="15:32" x14ac:dyDescent="0.25">
      <c r="O90">
        <v>-0.90315000000000001</v>
      </c>
      <c r="P90">
        <v>0.22796</v>
      </c>
      <c r="Q90" s="1">
        <f t="shared" si="14"/>
        <v>0.205882074</v>
      </c>
      <c r="R90" s="3">
        <f t="shared" si="15"/>
        <v>163.83574885555691</v>
      </c>
      <c r="X90">
        <v>1.1311100000000001</v>
      </c>
      <c r="AC90">
        <v>-0.91235999999999995</v>
      </c>
      <c r="AD90">
        <v>0.40579999999999999</v>
      </c>
      <c r="AE90" s="1">
        <f t="shared" si="16"/>
        <v>0.37023568799999995</v>
      </c>
      <c r="AF90" s="3">
        <f t="shared" si="17"/>
        <v>294.62419927114354</v>
      </c>
    </row>
    <row r="91" spans="15:32" x14ac:dyDescent="0.25">
      <c r="O91">
        <v>-0.91422000000000003</v>
      </c>
      <c r="P91">
        <v>0.21559</v>
      </c>
      <c r="Q91" s="1">
        <f t="shared" si="14"/>
        <v>0.1970966898</v>
      </c>
      <c r="R91" s="3">
        <f t="shared" si="15"/>
        <v>156.84456224359974</v>
      </c>
      <c r="X91">
        <v>1.1297999999999999</v>
      </c>
      <c r="AC91">
        <v>-0.92222000000000004</v>
      </c>
      <c r="AD91">
        <v>0.39402999999999999</v>
      </c>
      <c r="AE91" s="1">
        <f t="shared" si="16"/>
        <v>0.36338234660000002</v>
      </c>
      <c r="AF91" s="3">
        <f t="shared" si="17"/>
        <v>289.17048346861196</v>
      </c>
    </row>
    <row r="92" spans="15:32" x14ac:dyDescent="0.25">
      <c r="O92">
        <v>-0.92561000000000004</v>
      </c>
      <c r="P92">
        <v>0.20233000000000001</v>
      </c>
      <c r="Q92" s="1">
        <f t="shared" si="14"/>
        <v>0.1872786713</v>
      </c>
      <c r="R92" s="3">
        <f t="shared" si="15"/>
        <v>149.03163136538637</v>
      </c>
      <c r="X92">
        <v>1.1279399999999999</v>
      </c>
      <c r="AC92">
        <v>-0.93298999999999999</v>
      </c>
      <c r="AD92">
        <v>0.38261000000000001</v>
      </c>
      <c r="AE92" s="1">
        <f t="shared" si="16"/>
        <v>0.35697130389999998</v>
      </c>
      <c r="AF92" s="3">
        <f t="shared" si="17"/>
        <v>284.06873778822086</v>
      </c>
    </row>
    <row r="93" spans="15:32" x14ac:dyDescent="0.25">
      <c r="O93">
        <v>-0.93527000000000005</v>
      </c>
      <c r="P93">
        <v>0.19164999999999999</v>
      </c>
      <c r="Q93" s="1">
        <f t="shared" si="14"/>
        <v>0.17924449549999999</v>
      </c>
      <c r="R93" s="3">
        <f t="shared" si="15"/>
        <v>142.63823740418994</v>
      </c>
      <c r="X93">
        <v>1.1269199999999999</v>
      </c>
      <c r="AC93">
        <v>-0.94537000000000004</v>
      </c>
      <c r="AD93">
        <v>0.36992999999999998</v>
      </c>
      <c r="AE93" s="1">
        <f t="shared" si="16"/>
        <v>0.34972072409999999</v>
      </c>
      <c r="AF93" s="3">
        <f t="shared" si="17"/>
        <v>278.29890971095966</v>
      </c>
    </row>
    <row r="94" spans="15:32" x14ac:dyDescent="0.25">
      <c r="O94">
        <v>-0.94518999999999997</v>
      </c>
      <c r="P94">
        <v>0.18</v>
      </c>
      <c r="Q94" s="1">
        <f t="shared" si="14"/>
        <v>0.17013419999999999</v>
      </c>
      <c r="R94" s="3">
        <f t="shared" si="15"/>
        <v>135.3884945949257</v>
      </c>
      <c r="X94">
        <v>1.1251899999999999</v>
      </c>
      <c r="AC94">
        <v>-0.95557999999999998</v>
      </c>
      <c r="AD94">
        <v>0.35883999999999999</v>
      </c>
      <c r="AE94" s="1">
        <f t="shared" si="16"/>
        <v>0.34290032719999997</v>
      </c>
      <c r="AF94" s="3">
        <f t="shared" si="17"/>
        <v>272.87141030854144</v>
      </c>
    </row>
    <row r="95" spans="15:32" x14ac:dyDescent="0.25">
      <c r="O95">
        <v>-0.95564000000000004</v>
      </c>
      <c r="P95">
        <v>0.16788</v>
      </c>
      <c r="Q95" s="1">
        <f t="shared" si="14"/>
        <v>0.16043284320000001</v>
      </c>
      <c r="R95" s="3">
        <f t="shared" si="15"/>
        <v>127.66840014783484</v>
      </c>
      <c r="X95">
        <v>1.12351</v>
      </c>
      <c r="AC95">
        <v>-0.96562000000000003</v>
      </c>
      <c r="AD95">
        <v>0.34893000000000002</v>
      </c>
      <c r="AE95" s="1">
        <f t="shared" si="16"/>
        <v>0.33693378660000001</v>
      </c>
      <c r="AF95" s="3">
        <f t="shared" si="17"/>
        <v>268.12338816029904</v>
      </c>
    </row>
    <row r="96" spans="15:32" x14ac:dyDescent="0.25">
      <c r="O96">
        <v>-0.96543999999999996</v>
      </c>
      <c r="P96">
        <v>0.15747</v>
      </c>
      <c r="Q96" s="1">
        <f t="shared" si="14"/>
        <v>0.15202783679999998</v>
      </c>
      <c r="R96" s="3">
        <f t="shared" si="15"/>
        <v>120.97990857143975</v>
      </c>
      <c r="X96">
        <v>1.1229100000000001</v>
      </c>
      <c r="AC96">
        <v>-0.97719999999999996</v>
      </c>
      <c r="AD96">
        <v>0.33609</v>
      </c>
      <c r="AE96" s="1">
        <f t="shared" si="16"/>
        <v>0.328427148</v>
      </c>
      <c r="AF96" s="3">
        <f t="shared" si="17"/>
        <v>261.35402024886747</v>
      </c>
    </row>
    <row r="97" spans="15:32" x14ac:dyDescent="0.25">
      <c r="O97">
        <v>-0.97574000000000005</v>
      </c>
      <c r="P97">
        <v>0.14499000000000001</v>
      </c>
      <c r="Q97" s="1">
        <f t="shared" si="14"/>
        <v>0.14147254260000003</v>
      </c>
      <c r="R97" s="3">
        <f t="shared" si="15"/>
        <v>112.58027233284372</v>
      </c>
      <c r="X97">
        <v>1.12073</v>
      </c>
      <c r="AC97">
        <v>-0.98782999999999999</v>
      </c>
      <c r="AD97">
        <v>0.32430999999999999</v>
      </c>
      <c r="AE97" s="1">
        <f t="shared" si="16"/>
        <v>0.32036314729999998</v>
      </c>
      <c r="AF97" s="3">
        <f t="shared" si="17"/>
        <v>254.93689238635992</v>
      </c>
    </row>
    <row r="98" spans="15:32" x14ac:dyDescent="0.25">
      <c r="O98">
        <v>-0.98692999999999997</v>
      </c>
      <c r="P98">
        <v>0.13278999999999999</v>
      </c>
      <c r="Q98" s="1">
        <f t="shared" si="14"/>
        <v>0.1310544347</v>
      </c>
      <c r="R98" s="3">
        <f t="shared" si="15"/>
        <v>104.28980548309507</v>
      </c>
      <c r="X98">
        <v>1.11972</v>
      </c>
      <c r="AC98">
        <v>-0.99824000000000002</v>
      </c>
      <c r="AD98">
        <v>0.31390000000000001</v>
      </c>
      <c r="AE98" s="1">
        <f t="shared" si="16"/>
        <v>0.31334753600000004</v>
      </c>
      <c r="AF98" s="3">
        <f t="shared" si="17"/>
        <v>249.35404630032818</v>
      </c>
    </row>
    <row r="99" spans="15:32" x14ac:dyDescent="0.25">
      <c r="O99">
        <v>-0.99753000000000003</v>
      </c>
      <c r="P99">
        <v>0.12091</v>
      </c>
      <c r="Q99" s="1">
        <f t="shared" si="14"/>
        <v>0.1206113523</v>
      </c>
      <c r="R99" s="3">
        <f t="shared" si="15"/>
        <v>95.979464557715204</v>
      </c>
      <c r="X99">
        <v>1.11843</v>
      </c>
      <c r="AC99">
        <v>-1.0104900000000001</v>
      </c>
      <c r="AD99">
        <v>0.30074000000000001</v>
      </c>
      <c r="AE99" s="1">
        <f t="shared" si="16"/>
        <v>0.30389476260000003</v>
      </c>
      <c r="AF99" s="3">
        <f t="shared" si="17"/>
        <v>241.83176823764026</v>
      </c>
    </row>
    <row r="100" spans="15:32" x14ac:dyDescent="0.25">
      <c r="O100">
        <v>-1.0156400000000001</v>
      </c>
      <c r="P100">
        <v>0.10002999999999999</v>
      </c>
      <c r="Q100" s="1">
        <f t="shared" si="14"/>
        <v>0.10159446920000001</v>
      </c>
      <c r="R100" s="3">
        <f t="shared" si="15"/>
        <v>80.846309819886585</v>
      </c>
      <c r="X100">
        <v>1.1156699999999999</v>
      </c>
      <c r="AC100">
        <v>-1.02163</v>
      </c>
      <c r="AD100">
        <v>0.28803000000000001</v>
      </c>
      <c r="AE100" s="1">
        <f t="shared" si="16"/>
        <v>0.29426008889999999</v>
      </c>
      <c r="AF100" s="3">
        <f t="shared" si="17"/>
        <v>234.16473851547781</v>
      </c>
    </row>
    <row r="101" spans="15:32" x14ac:dyDescent="0.25">
      <c r="O101">
        <v>-1.0221199999999999</v>
      </c>
      <c r="P101">
        <v>9.1859999999999997E-2</v>
      </c>
      <c r="Q101" s="1">
        <f t="shared" si="14"/>
        <v>9.3891943199999994E-2</v>
      </c>
      <c r="R101" s="3">
        <f t="shared" si="15"/>
        <v>74.716834383917345</v>
      </c>
      <c r="X101">
        <v>1.11398</v>
      </c>
      <c r="AC101">
        <v>-1.0317400000000001</v>
      </c>
      <c r="AD101">
        <v>0.27676000000000001</v>
      </c>
      <c r="AE101" s="1">
        <f t="shared" si="16"/>
        <v>0.28554436240000003</v>
      </c>
      <c r="AF101" s="3">
        <f t="shared" si="17"/>
        <v>227.22898373991774</v>
      </c>
    </row>
    <row r="102" spans="15:32" x14ac:dyDescent="0.25">
      <c r="O102">
        <v>-1.03182</v>
      </c>
      <c r="P102">
        <v>8.1110000000000002E-2</v>
      </c>
      <c r="Q102" s="1">
        <f t="shared" si="14"/>
        <v>8.3690920200000005E-2</v>
      </c>
      <c r="R102" s="3">
        <f t="shared" si="15"/>
        <v>66.59911820869678</v>
      </c>
      <c r="X102">
        <v>1.11293</v>
      </c>
      <c r="AC102">
        <v>-1.0435700000000001</v>
      </c>
      <c r="AD102">
        <v>0.26477000000000001</v>
      </c>
      <c r="AE102" s="1">
        <f t="shared" si="16"/>
        <v>0.27630602890000006</v>
      </c>
      <c r="AF102" s="3">
        <f t="shared" si="17"/>
        <v>219.87735152763548</v>
      </c>
    </row>
    <row r="103" spans="15:32" x14ac:dyDescent="0.25">
      <c r="O103">
        <v>-1.04084</v>
      </c>
      <c r="P103">
        <v>7.0569999999999994E-2</v>
      </c>
      <c r="Q103" s="1">
        <f t="shared" si="14"/>
        <v>7.3452078799999987E-2</v>
      </c>
      <c r="R103" s="3">
        <f t="shared" si="15"/>
        <v>58.451307106977055</v>
      </c>
      <c r="X103">
        <v>1.1114200000000001</v>
      </c>
      <c r="AC103">
        <v>-1.0553600000000001</v>
      </c>
      <c r="AD103">
        <v>0.25247999999999998</v>
      </c>
      <c r="AE103" s="1">
        <f t="shared" si="16"/>
        <v>0.26645729280000002</v>
      </c>
      <c r="AF103" s="3">
        <f t="shared" si="17"/>
        <v>212.03997636002248</v>
      </c>
    </row>
    <row r="104" spans="15:32" x14ac:dyDescent="0.25">
      <c r="O104">
        <v>-1.0517700000000001</v>
      </c>
      <c r="P104">
        <v>5.7860000000000002E-2</v>
      </c>
      <c r="Q104" s="1">
        <f t="shared" si="14"/>
        <v>6.0855412200000007E-2</v>
      </c>
      <c r="R104" s="3">
        <f t="shared" si="15"/>
        <v>48.427198327624176</v>
      </c>
      <c r="X104">
        <v>1.1096299999999999</v>
      </c>
      <c r="AC104">
        <v>-1.06443</v>
      </c>
      <c r="AD104">
        <v>0.24188000000000001</v>
      </c>
      <c r="AE104" s="1">
        <f t="shared" si="16"/>
        <v>0.2574643284</v>
      </c>
      <c r="AF104" s="3">
        <f t="shared" si="17"/>
        <v>204.88360267347528</v>
      </c>
    </row>
    <row r="105" spans="15:32" x14ac:dyDescent="0.25">
      <c r="O105">
        <v>-1.0624499999999999</v>
      </c>
      <c r="P105">
        <v>4.6170000000000003E-2</v>
      </c>
      <c r="Q105" s="1">
        <f t="shared" si="14"/>
        <v>4.9053316499999999E-2</v>
      </c>
      <c r="R105" s="3">
        <f t="shared" si="15"/>
        <v>39.035388980131152</v>
      </c>
      <c r="X105">
        <v>1.1086199999999999</v>
      </c>
      <c r="AC105">
        <v>-1.0742400000000001</v>
      </c>
      <c r="AD105">
        <v>0.23171</v>
      </c>
      <c r="AE105" s="1">
        <f t="shared" si="16"/>
        <v>0.24891215040000003</v>
      </c>
      <c r="AF105" s="3">
        <f t="shared" si="17"/>
        <v>198.0779956589665</v>
      </c>
    </row>
    <row r="106" spans="15:32" x14ac:dyDescent="0.25">
      <c r="O106">
        <v>-1.0732999999999999</v>
      </c>
      <c r="P106">
        <v>3.329E-2</v>
      </c>
      <c r="Q106" s="1">
        <f t="shared" si="14"/>
        <v>3.5730156999999999E-2</v>
      </c>
      <c r="R106" s="3">
        <f t="shared" si="15"/>
        <v>28.433155519997428</v>
      </c>
      <c r="X106">
        <v>1.1066</v>
      </c>
      <c r="AC106">
        <v>-1.0850599999999999</v>
      </c>
      <c r="AD106">
        <v>0.22045000000000001</v>
      </c>
      <c r="AE106" s="1">
        <f t="shared" si="16"/>
        <v>0.239201477</v>
      </c>
      <c r="AF106" s="3">
        <f t="shared" si="17"/>
        <v>190.35048729716155</v>
      </c>
    </row>
    <row r="107" spans="15:32" x14ac:dyDescent="0.25">
      <c r="O107">
        <v>-1.0851</v>
      </c>
      <c r="P107">
        <v>1.9290000000000002E-2</v>
      </c>
      <c r="Q107" s="1">
        <f t="shared" si="14"/>
        <v>2.0931579000000002E-2</v>
      </c>
      <c r="R107" s="3">
        <f t="shared" si="15"/>
        <v>16.656821322842561</v>
      </c>
      <c r="X107">
        <v>1.1043799999999999</v>
      </c>
      <c r="AC107">
        <v>-1.0952999999999999</v>
      </c>
      <c r="AD107">
        <v>0.20910000000000001</v>
      </c>
      <c r="AE107" s="1">
        <f t="shared" si="16"/>
        <v>0.22902723</v>
      </c>
      <c r="AF107" s="3">
        <f t="shared" si="17"/>
        <v>182.25407878572213</v>
      </c>
    </row>
    <row r="108" spans="15:32" x14ac:dyDescent="0.25">
      <c r="O108">
        <v>-1.0966899999999999</v>
      </c>
      <c r="P108">
        <v>6.45E-3</v>
      </c>
      <c r="Q108" s="1">
        <f t="shared" si="14"/>
        <v>7.0736504999999996E-3</v>
      </c>
      <c r="R108" s="3">
        <f t="shared" si="15"/>
        <v>5.6290322138972853</v>
      </c>
      <c r="X108">
        <v>1.10314</v>
      </c>
      <c r="AC108">
        <v>-1.1144700000000001</v>
      </c>
      <c r="AD108">
        <v>0.18712999999999999</v>
      </c>
      <c r="AE108" s="1">
        <f t="shared" si="16"/>
        <v>0.2085507711</v>
      </c>
      <c r="AF108" s="3">
        <f t="shared" si="17"/>
        <v>165.95943053095695</v>
      </c>
    </row>
    <row r="109" spans="15:32" x14ac:dyDescent="0.25">
      <c r="O109">
        <v>-1.1065199999999999</v>
      </c>
      <c r="P109">
        <v>-5.45E-3</v>
      </c>
      <c r="Q109" s="1">
        <f t="shared" si="14"/>
        <v>6.0305339999999997E-3</v>
      </c>
      <c r="R109" s="3">
        <f t="shared" si="15"/>
        <v>4.7989464779187001</v>
      </c>
      <c r="X109">
        <v>1.10107</v>
      </c>
      <c r="AC109">
        <v>-1.1203099999999999</v>
      </c>
      <c r="AD109">
        <v>0.18084</v>
      </c>
      <c r="AE109" s="1">
        <f t="shared" si="16"/>
        <v>0.2025968604</v>
      </c>
      <c r="AF109" s="3">
        <f t="shared" si="17"/>
        <v>161.22145893779333</v>
      </c>
    </row>
    <row r="110" spans="15:32" x14ac:dyDescent="0.25">
      <c r="Q110" s="1">
        <f t="shared" si="14"/>
        <v>0</v>
      </c>
      <c r="R110" s="3">
        <f t="shared" si="15"/>
        <v>0</v>
      </c>
      <c r="AC110">
        <v>-1.13019</v>
      </c>
      <c r="AD110">
        <v>0.1691</v>
      </c>
      <c r="AE110" s="1">
        <f t="shared" si="16"/>
        <v>0.19111512899999999</v>
      </c>
      <c r="AF110" s="3">
        <f t="shared" si="17"/>
        <v>152.08458739997619</v>
      </c>
    </row>
    <row r="111" spans="15:32" x14ac:dyDescent="0.25">
      <c r="Q111" s="1">
        <f t="shared" si="14"/>
        <v>0</v>
      </c>
      <c r="R111" s="3">
        <f t="shared" si="15"/>
        <v>0</v>
      </c>
      <c r="AC111">
        <v>-1.1409400000000001</v>
      </c>
      <c r="AD111">
        <v>0.15755</v>
      </c>
      <c r="AE111" s="1">
        <f t="shared" si="16"/>
        <v>0.179755097</v>
      </c>
      <c r="AF111" s="3">
        <f t="shared" si="17"/>
        <v>143.04456116756563</v>
      </c>
    </row>
    <row r="112" spans="15:32" x14ac:dyDescent="0.25">
      <c r="Q112" s="1">
        <f t="shared" si="14"/>
        <v>0</v>
      </c>
      <c r="R112" s="3">
        <f t="shared" si="15"/>
        <v>0</v>
      </c>
      <c r="AC112">
        <v>-1.1522300000000001</v>
      </c>
      <c r="AD112">
        <v>0.14566000000000001</v>
      </c>
      <c r="AE112" s="1">
        <f t="shared" si="16"/>
        <v>0.16783382180000003</v>
      </c>
      <c r="AF112" s="3">
        <f t="shared" si="17"/>
        <v>133.55791178737155</v>
      </c>
    </row>
    <row r="113" spans="17:32" x14ac:dyDescent="0.25">
      <c r="Q113" s="1">
        <f t="shared" si="14"/>
        <v>0</v>
      </c>
      <c r="R113" s="3">
        <f t="shared" si="15"/>
        <v>0</v>
      </c>
      <c r="AC113">
        <v>-1.1621900000000001</v>
      </c>
      <c r="AD113">
        <v>0.13413</v>
      </c>
      <c r="AE113" s="1">
        <f t="shared" si="16"/>
        <v>0.15588454470000002</v>
      </c>
      <c r="AF113" s="3">
        <f t="shared" si="17"/>
        <v>124.04897920317259</v>
      </c>
    </row>
    <row r="114" spans="17:32" x14ac:dyDescent="0.25">
      <c r="Q114" s="1">
        <f t="shared" si="14"/>
        <v>0</v>
      </c>
      <c r="R114" s="3">
        <f t="shared" si="15"/>
        <v>0</v>
      </c>
      <c r="AC114">
        <v>-1.17225</v>
      </c>
      <c r="AD114">
        <v>0.1227</v>
      </c>
      <c r="AE114" s="1">
        <f t="shared" si="16"/>
        <v>0.14383507500000001</v>
      </c>
      <c r="AF114" s="3">
        <f t="shared" si="17"/>
        <v>114.4603158812175</v>
      </c>
    </row>
    <row r="115" spans="17:32" x14ac:dyDescent="0.25">
      <c r="Q115" s="1">
        <f t="shared" si="14"/>
        <v>0</v>
      </c>
      <c r="R115" s="3">
        <f t="shared" si="15"/>
        <v>0</v>
      </c>
      <c r="AC115">
        <v>-1.1840299999999999</v>
      </c>
      <c r="AD115">
        <v>0.11019</v>
      </c>
      <c r="AE115" s="1">
        <f t="shared" si="16"/>
        <v>0.13046826569999997</v>
      </c>
      <c r="AF115" s="3">
        <f t="shared" si="17"/>
        <v>103.82334701390889</v>
      </c>
    </row>
    <row r="116" spans="17:32" x14ac:dyDescent="0.25">
      <c r="Q116" s="1">
        <f t="shared" si="14"/>
        <v>0</v>
      </c>
      <c r="R116" s="3">
        <f t="shared" si="15"/>
        <v>0</v>
      </c>
      <c r="AC116">
        <v>-1.19394</v>
      </c>
      <c r="AD116">
        <v>9.6939999999999998E-2</v>
      </c>
      <c r="AE116" s="1">
        <f t="shared" si="16"/>
        <v>0.1157405436</v>
      </c>
      <c r="AF116" s="3">
        <f t="shared" si="17"/>
        <v>92.10339815041516</v>
      </c>
    </row>
    <row r="117" spans="17:32" x14ac:dyDescent="0.25">
      <c r="Q117" s="1">
        <f t="shared" si="14"/>
        <v>0</v>
      </c>
      <c r="R117" s="3">
        <f t="shared" si="15"/>
        <v>0</v>
      </c>
      <c r="AC117">
        <v>-1.2045600000000001</v>
      </c>
      <c r="AD117">
        <v>8.516E-2</v>
      </c>
      <c r="AE117" s="1">
        <f t="shared" si="16"/>
        <v>0.10258032960000001</v>
      </c>
      <c r="AF117" s="3">
        <f t="shared" si="17"/>
        <v>81.630832599179342</v>
      </c>
    </row>
    <row r="118" spans="17:32" x14ac:dyDescent="0.25">
      <c r="Q118" s="1">
        <f t="shared" si="14"/>
        <v>0</v>
      </c>
      <c r="R118" s="3">
        <f t="shared" si="15"/>
        <v>0</v>
      </c>
      <c r="AC118">
        <v>-1.2163900000000001</v>
      </c>
      <c r="AD118">
        <v>7.1300000000000002E-2</v>
      </c>
      <c r="AE118" s="1">
        <f t="shared" si="16"/>
        <v>8.6728607000000013E-2</v>
      </c>
      <c r="AF118" s="3">
        <f t="shared" si="17"/>
        <v>69.016432557621798</v>
      </c>
    </row>
    <row r="119" spans="17:32" x14ac:dyDescent="0.25">
      <c r="Q119" s="1">
        <f t="shared" si="14"/>
        <v>0</v>
      </c>
      <c r="R119" s="3">
        <f t="shared" si="15"/>
        <v>0</v>
      </c>
      <c r="AC119">
        <v>-1.2259800000000001</v>
      </c>
      <c r="AD119">
        <v>6.0470000000000003E-2</v>
      </c>
      <c r="AE119" s="1">
        <f t="shared" si="16"/>
        <v>7.4135010600000009E-2</v>
      </c>
      <c r="AF119" s="3">
        <f t="shared" si="17"/>
        <v>58.994766965800295</v>
      </c>
    </row>
    <row r="120" spans="17:32" x14ac:dyDescent="0.25">
      <c r="Q120" s="1">
        <f t="shared" si="14"/>
        <v>0</v>
      </c>
      <c r="R120" s="3">
        <f t="shared" si="15"/>
        <v>0</v>
      </c>
      <c r="AC120">
        <v>-1.23427</v>
      </c>
      <c r="AD120">
        <v>0.05</v>
      </c>
      <c r="AE120" s="1">
        <f t="shared" si="16"/>
        <v>6.1713500000000004E-2</v>
      </c>
      <c r="AF120" s="3">
        <f t="shared" si="17"/>
        <v>49.110042902508418</v>
      </c>
    </row>
    <row r="121" spans="17:32" x14ac:dyDescent="0.25">
      <c r="Q121" s="1">
        <f t="shared" si="14"/>
        <v>0</v>
      </c>
      <c r="R121" s="3">
        <f t="shared" si="15"/>
        <v>0</v>
      </c>
      <c r="AC121">
        <v>-1.24417</v>
      </c>
      <c r="AD121">
        <v>3.8330000000000003E-2</v>
      </c>
      <c r="AE121" s="1">
        <f t="shared" si="16"/>
        <v>4.7689036100000005E-2</v>
      </c>
      <c r="AF121" s="3">
        <f t="shared" si="17"/>
        <v>37.949729133014216</v>
      </c>
    </row>
    <row r="122" spans="17:32" x14ac:dyDescent="0.25">
      <c r="Q122" s="1">
        <f t="shared" si="14"/>
        <v>0</v>
      </c>
      <c r="R122" s="3">
        <f t="shared" si="15"/>
        <v>0</v>
      </c>
      <c r="AC122">
        <v>-1.2534000000000001</v>
      </c>
      <c r="AD122">
        <v>2.6800000000000001E-2</v>
      </c>
      <c r="AE122" s="1">
        <f t="shared" si="16"/>
        <v>3.3591120000000002E-2</v>
      </c>
      <c r="AF122" s="3">
        <f t="shared" si="17"/>
        <v>26.730963959965138</v>
      </c>
    </row>
    <row r="123" spans="17:32" x14ac:dyDescent="0.25">
      <c r="Q123" s="1">
        <f t="shared" si="14"/>
        <v>0</v>
      </c>
      <c r="R123" s="3">
        <f t="shared" si="15"/>
        <v>0</v>
      </c>
      <c r="AC123">
        <v>-1.2709900000000001</v>
      </c>
      <c r="AD123">
        <v>7.8600000000000007E-3</v>
      </c>
      <c r="AE123" s="1">
        <f t="shared" si="16"/>
        <v>9.9899814000000021E-3</v>
      </c>
      <c r="AF123" s="3">
        <f t="shared" si="17"/>
        <v>7.9497746060304664</v>
      </c>
    </row>
    <row r="124" spans="17:32" x14ac:dyDescent="0.25">
      <c r="Q124" s="1">
        <f t="shared" si="14"/>
        <v>0</v>
      </c>
      <c r="R124" s="3">
        <f t="shared" si="15"/>
        <v>0</v>
      </c>
    </row>
    <row r="125" spans="17:32" x14ac:dyDescent="0.25">
      <c r="Q125" s="1">
        <f t="shared" si="14"/>
        <v>0</v>
      </c>
      <c r="R125" s="3">
        <f t="shared" si="15"/>
        <v>0</v>
      </c>
    </row>
    <row r="126" spans="17:32" x14ac:dyDescent="0.25">
      <c r="Q126" s="1">
        <f t="shared" si="14"/>
        <v>0</v>
      </c>
      <c r="R126" s="3">
        <f t="shared" si="15"/>
        <v>0</v>
      </c>
    </row>
    <row r="127" spans="17:32" x14ac:dyDescent="0.25">
      <c r="Q127" s="1">
        <f t="shared" si="14"/>
        <v>0</v>
      </c>
      <c r="R127" s="3">
        <f t="shared" si="15"/>
        <v>0</v>
      </c>
    </row>
    <row r="128" spans="17:32" x14ac:dyDescent="0.25">
      <c r="Q128" s="1">
        <f t="shared" si="14"/>
        <v>0</v>
      </c>
      <c r="R128" s="3">
        <f t="shared" si="15"/>
        <v>0</v>
      </c>
    </row>
    <row r="129" spans="17:18" x14ac:dyDescent="0.25">
      <c r="Q129" s="1">
        <f t="shared" si="14"/>
        <v>0</v>
      </c>
      <c r="R129" s="3">
        <f t="shared" si="15"/>
        <v>0</v>
      </c>
    </row>
    <row r="130" spans="17:18" x14ac:dyDescent="0.25">
      <c r="Q130" s="1">
        <f t="shared" si="14"/>
        <v>0</v>
      </c>
      <c r="R130" s="3">
        <f t="shared" si="15"/>
        <v>0</v>
      </c>
    </row>
    <row r="131" spans="17:18" x14ac:dyDescent="0.25">
      <c r="Q131" s="1">
        <f t="shared" si="14"/>
        <v>0</v>
      </c>
      <c r="R131" s="3">
        <f t="shared" si="15"/>
        <v>0</v>
      </c>
    </row>
    <row r="132" spans="17:18" x14ac:dyDescent="0.25">
      <c r="Q132" s="1">
        <f t="shared" ref="Q132:Q195" si="18">ABS(P132*O132)</f>
        <v>0</v>
      </c>
      <c r="R132" s="3">
        <f t="shared" ref="R132:R195" si="19">Q132/(4*PI()*0.0001)</f>
        <v>0</v>
      </c>
    </row>
    <row r="133" spans="17:18" x14ac:dyDescent="0.25">
      <c r="Q133" s="1">
        <f t="shared" si="18"/>
        <v>0</v>
      </c>
      <c r="R133" s="3">
        <f t="shared" si="19"/>
        <v>0</v>
      </c>
    </row>
    <row r="134" spans="17:18" x14ac:dyDescent="0.25">
      <c r="Q134" s="1">
        <f t="shared" si="18"/>
        <v>0</v>
      </c>
      <c r="R134" s="3">
        <f t="shared" si="19"/>
        <v>0</v>
      </c>
    </row>
    <row r="135" spans="17:18" x14ac:dyDescent="0.25">
      <c r="Q135" s="1">
        <f t="shared" si="18"/>
        <v>0</v>
      </c>
      <c r="R135" s="3">
        <f t="shared" si="19"/>
        <v>0</v>
      </c>
    </row>
    <row r="136" spans="17:18" x14ac:dyDescent="0.25">
      <c r="Q136" s="1">
        <f t="shared" si="18"/>
        <v>0</v>
      </c>
      <c r="R136" s="3">
        <f t="shared" si="19"/>
        <v>0</v>
      </c>
    </row>
    <row r="137" spans="17:18" x14ac:dyDescent="0.25">
      <c r="Q137" s="1">
        <f t="shared" si="18"/>
        <v>0</v>
      </c>
      <c r="R137" s="3">
        <f t="shared" si="19"/>
        <v>0</v>
      </c>
    </row>
    <row r="138" spans="17:18" x14ac:dyDescent="0.25">
      <c r="Q138" s="1">
        <f t="shared" si="18"/>
        <v>0</v>
      </c>
      <c r="R138" s="3">
        <f t="shared" si="19"/>
        <v>0</v>
      </c>
    </row>
    <row r="139" spans="17:18" x14ac:dyDescent="0.25">
      <c r="Q139" s="1">
        <f t="shared" si="18"/>
        <v>0</v>
      </c>
      <c r="R139" s="3">
        <f t="shared" si="19"/>
        <v>0</v>
      </c>
    </row>
    <row r="140" spans="17:18" x14ac:dyDescent="0.25">
      <c r="Q140" s="1">
        <f t="shared" si="18"/>
        <v>0</v>
      </c>
      <c r="R140" s="3">
        <f t="shared" si="19"/>
        <v>0</v>
      </c>
    </row>
    <row r="141" spans="17:18" x14ac:dyDescent="0.25">
      <c r="Q141" s="1">
        <f t="shared" si="18"/>
        <v>0</v>
      </c>
      <c r="R141" s="3">
        <f t="shared" si="19"/>
        <v>0</v>
      </c>
    </row>
    <row r="142" spans="17:18" x14ac:dyDescent="0.25">
      <c r="Q142" s="1">
        <f t="shared" si="18"/>
        <v>0</v>
      </c>
      <c r="R142" s="3">
        <f t="shared" si="19"/>
        <v>0</v>
      </c>
    </row>
    <row r="143" spans="17:18" x14ac:dyDescent="0.25">
      <c r="Q143" s="1">
        <f t="shared" si="18"/>
        <v>0</v>
      </c>
      <c r="R143" s="3">
        <f t="shared" si="19"/>
        <v>0</v>
      </c>
    </row>
    <row r="144" spans="17:18" x14ac:dyDescent="0.25">
      <c r="Q144" s="1">
        <f t="shared" si="18"/>
        <v>0</v>
      </c>
      <c r="R144" s="3">
        <f t="shared" si="19"/>
        <v>0</v>
      </c>
    </row>
    <row r="145" spans="17:18" x14ac:dyDescent="0.25">
      <c r="Q145" s="1">
        <f t="shared" si="18"/>
        <v>0</v>
      </c>
      <c r="R145" s="3">
        <f t="shared" si="19"/>
        <v>0</v>
      </c>
    </row>
    <row r="146" spans="17:18" x14ac:dyDescent="0.25">
      <c r="Q146" s="1">
        <f t="shared" si="18"/>
        <v>0</v>
      </c>
      <c r="R146" s="3">
        <f t="shared" si="19"/>
        <v>0</v>
      </c>
    </row>
    <row r="147" spans="17:18" x14ac:dyDescent="0.25">
      <c r="Q147" s="1">
        <f t="shared" si="18"/>
        <v>0</v>
      </c>
      <c r="R147" s="3">
        <f t="shared" si="19"/>
        <v>0</v>
      </c>
    </row>
    <row r="148" spans="17:18" x14ac:dyDescent="0.25">
      <c r="Q148" s="1">
        <f t="shared" si="18"/>
        <v>0</v>
      </c>
      <c r="R148" s="3">
        <f t="shared" si="19"/>
        <v>0</v>
      </c>
    </row>
    <row r="149" spans="17:18" x14ac:dyDescent="0.25">
      <c r="Q149" s="1">
        <f t="shared" si="18"/>
        <v>0</v>
      </c>
      <c r="R149" s="3">
        <f t="shared" si="19"/>
        <v>0</v>
      </c>
    </row>
    <row r="150" spans="17:18" x14ac:dyDescent="0.25">
      <c r="Q150" s="1">
        <f t="shared" si="18"/>
        <v>0</v>
      </c>
      <c r="R150" s="3">
        <f t="shared" si="19"/>
        <v>0</v>
      </c>
    </row>
    <row r="151" spans="17:18" x14ac:dyDescent="0.25">
      <c r="Q151" s="1">
        <f t="shared" si="18"/>
        <v>0</v>
      </c>
      <c r="R151" s="3">
        <f t="shared" si="19"/>
        <v>0</v>
      </c>
    </row>
    <row r="152" spans="17:18" x14ac:dyDescent="0.25">
      <c r="Q152" s="1">
        <f t="shared" si="18"/>
        <v>0</v>
      </c>
      <c r="R152" s="3">
        <f t="shared" si="19"/>
        <v>0</v>
      </c>
    </row>
    <row r="153" spans="17:18" x14ac:dyDescent="0.25">
      <c r="Q153" s="1">
        <f t="shared" si="18"/>
        <v>0</v>
      </c>
      <c r="R153" s="3">
        <f t="shared" si="19"/>
        <v>0</v>
      </c>
    </row>
    <row r="154" spans="17:18" x14ac:dyDescent="0.25">
      <c r="Q154" s="1">
        <f t="shared" si="18"/>
        <v>0</v>
      </c>
      <c r="R154" s="3">
        <f t="shared" si="19"/>
        <v>0</v>
      </c>
    </row>
    <row r="155" spans="17:18" x14ac:dyDescent="0.25">
      <c r="Q155" s="1">
        <f t="shared" si="18"/>
        <v>0</v>
      </c>
      <c r="R155" s="3">
        <f t="shared" si="19"/>
        <v>0</v>
      </c>
    </row>
    <row r="156" spans="17:18" x14ac:dyDescent="0.25">
      <c r="Q156" s="1">
        <f t="shared" si="18"/>
        <v>0</v>
      </c>
      <c r="R156" s="3">
        <f t="shared" si="19"/>
        <v>0</v>
      </c>
    </row>
    <row r="157" spans="17:18" x14ac:dyDescent="0.25">
      <c r="Q157" s="1">
        <f t="shared" si="18"/>
        <v>0</v>
      </c>
      <c r="R157" s="3">
        <f t="shared" si="19"/>
        <v>0</v>
      </c>
    </row>
    <row r="158" spans="17:18" x14ac:dyDescent="0.25">
      <c r="Q158" s="1">
        <f t="shared" si="18"/>
        <v>0</v>
      </c>
      <c r="R158" s="3">
        <f t="shared" si="19"/>
        <v>0</v>
      </c>
    </row>
    <row r="159" spans="17:18" x14ac:dyDescent="0.25">
      <c r="Q159" s="1">
        <f t="shared" si="18"/>
        <v>0</v>
      </c>
      <c r="R159" s="3">
        <f t="shared" si="19"/>
        <v>0</v>
      </c>
    </row>
    <row r="160" spans="17:18" x14ac:dyDescent="0.25">
      <c r="Q160" s="1">
        <f t="shared" si="18"/>
        <v>0</v>
      </c>
      <c r="R160" s="3">
        <f t="shared" si="19"/>
        <v>0</v>
      </c>
    </row>
    <row r="161" spans="17:18" x14ac:dyDescent="0.25">
      <c r="Q161" s="1">
        <f t="shared" si="18"/>
        <v>0</v>
      </c>
      <c r="R161" s="3">
        <f t="shared" si="19"/>
        <v>0</v>
      </c>
    </row>
    <row r="162" spans="17:18" x14ac:dyDescent="0.25">
      <c r="Q162" s="1">
        <f t="shared" si="18"/>
        <v>0</v>
      </c>
      <c r="R162" s="3">
        <f t="shared" si="19"/>
        <v>0</v>
      </c>
    </row>
    <row r="163" spans="17:18" x14ac:dyDescent="0.25">
      <c r="Q163" s="1">
        <f t="shared" si="18"/>
        <v>0</v>
      </c>
      <c r="R163" s="3">
        <f t="shared" si="19"/>
        <v>0</v>
      </c>
    </row>
    <row r="164" spans="17:18" x14ac:dyDescent="0.25">
      <c r="Q164" s="1">
        <f t="shared" si="18"/>
        <v>0</v>
      </c>
      <c r="R164" s="3">
        <f t="shared" si="19"/>
        <v>0</v>
      </c>
    </row>
    <row r="165" spans="17:18" x14ac:dyDescent="0.25">
      <c r="Q165" s="1">
        <f t="shared" si="18"/>
        <v>0</v>
      </c>
      <c r="R165" s="3">
        <f t="shared" si="19"/>
        <v>0</v>
      </c>
    </row>
    <row r="166" spans="17:18" x14ac:dyDescent="0.25">
      <c r="Q166" s="1">
        <f t="shared" si="18"/>
        <v>0</v>
      </c>
      <c r="R166" s="3">
        <f t="shared" si="19"/>
        <v>0</v>
      </c>
    </row>
    <row r="167" spans="17:18" x14ac:dyDescent="0.25">
      <c r="Q167" s="1">
        <f t="shared" si="18"/>
        <v>0</v>
      </c>
      <c r="R167" s="3">
        <f t="shared" si="19"/>
        <v>0</v>
      </c>
    </row>
    <row r="168" spans="17:18" x14ac:dyDescent="0.25">
      <c r="Q168" s="1">
        <f t="shared" si="18"/>
        <v>0</v>
      </c>
      <c r="R168" s="3">
        <f t="shared" si="19"/>
        <v>0</v>
      </c>
    </row>
    <row r="169" spans="17:18" x14ac:dyDescent="0.25">
      <c r="Q169" s="1">
        <f t="shared" si="18"/>
        <v>0</v>
      </c>
      <c r="R169" s="3">
        <f t="shared" si="19"/>
        <v>0</v>
      </c>
    </row>
    <row r="170" spans="17:18" x14ac:dyDescent="0.25">
      <c r="Q170" s="1">
        <f t="shared" si="18"/>
        <v>0</v>
      </c>
      <c r="R170" s="3">
        <f t="shared" si="19"/>
        <v>0</v>
      </c>
    </row>
    <row r="171" spans="17:18" x14ac:dyDescent="0.25">
      <c r="Q171" s="1">
        <f t="shared" si="18"/>
        <v>0</v>
      </c>
      <c r="R171" s="3">
        <f t="shared" si="19"/>
        <v>0</v>
      </c>
    </row>
    <row r="172" spans="17:18" x14ac:dyDescent="0.25">
      <c r="Q172" s="1">
        <f t="shared" si="18"/>
        <v>0</v>
      </c>
      <c r="R172" s="3">
        <f t="shared" si="19"/>
        <v>0</v>
      </c>
    </row>
    <row r="173" spans="17:18" x14ac:dyDescent="0.25">
      <c r="Q173" s="1">
        <f t="shared" si="18"/>
        <v>0</v>
      </c>
      <c r="R173" s="3">
        <f t="shared" si="19"/>
        <v>0</v>
      </c>
    </row>
    <row r="174" spans="17:18" x14ac:dyDescent="0.25">
      <c r="Q174" s="1">
        <f t="shared" si="18"/>
        <v>0</v>
      </c>
      <c r="R174" s="3">
        <f t="shared" si="19"/>
        <v>0</v>
      </c>
    </row>
    <row r="175" spans="17:18" x14ac:dyDescent="0.25">
      <c r="Q175" s="1">
        <f t="shared" si="18"/>
        <v>0</v>
      </c>
      <c r="R175" s="3">
        <f t="shared" si="19"/>
        <v>0</v>
      </c>
    </row>
    <row r="176" spans="17:18" x14ac:dyDescent="0.25">
      <c r="Q176" s="1">
        <f t="shared" si="18"/>
        <v>0</v>
      </c>
      <c r="R176" s="3">
        <f t="shared" si="19"/>
        <v>0</v>
      </c>
    </row>
    <row r="177" spans="17:18" x14ac:dyDescent="0.25">
      <c r="Q177" s="1">
        <f t="shared" si="18"/>
        <v>0</v>
      </c>
      <c r="R177" s="3">
        <f t="shared" si="19"/>
        <v>0</v>
      </c>
    </row>
    <row r="178" spans="17:18" x14ac:dyDescent="0.25">
      <c r="Q178" s="1">
        <f t="shared" si="18"/>
        <v>0</v>
      </c>
      <c r="R178" s="3">
        <f t="shared" si="19"/>
        <v>0</v>
      </c>
    </row>
    <row r="179" spans="17:18" x14ac:dyDescent="0.25">
      <c r="Q179" s="1">
        <f t="shared" si="18"/>
        <v>0</v>
      </c>
      <c r="R179" s="3">
        <f t="shared" si="19"/>
        <v>0</v>
      </c>
    </row>
    <row r="180" spans="17:18" x14ac:dyDescent="0.25">
      <c r="Q180" s="1">
        <f t="shared" si="18"/>
        <v>0</v>
      </c>
      <c r="R180" s="3">
        <f t="shared" si="19"/>
        <v>0</v>
      </c>
    </row>
    <row r="181" spans="17:18" x14ac:dyDescent="0.25">
      <c r="Q181" s="1">
        <f t="shared" si="18"/>
        <v>0</v>
      </c>
      <c r="R181" s="3">
        <f t="shared" si="19"/>
        <v>0</v>
      </c>
    </row>
    <row r="182" spans="17:18" x14ac:dyDescent="0.25">
      <c r="Q182" s="1">
        <f t="shared" si="18"/>
        <v>0</v>
      </c>
      <c r="R182" s="3">
        <f t="shared" si="19"/>
        <v>0</v>
      </c>
    </row>
    <row r="183" spans="17:18" x14ac:dyDescent="0.25">
      <c r="Q183" s="1">
        <f t="shared" si="18"/>
        <v>0</v>
      </c>
      <c r="R183" s="3">
        <f t="shared" si="19"/>
        <v>0</v>
      </c>
    </row>
    <row r="184" spans="17:18" x14ac:dyDescent="0.25">
      <c r="Q184" s="1">
        <f t="shared" si="18"/>
        <v>0</v>
      </c>
      <c r="R184" s="3">
        <f t="shared" si="19"/>
        <v>0</v>
      </c>
    </row>
    <row r="185" spans="17:18" x14ac:dyDescent="0.25">
      <c r="Q185" s="1">
        <f t="shared" si="18"/>
        <v>0</v>
      </c>
      <c r="R185" s="3">
        <f t="shared" si="19"/>
        <v>0</v>
      </c>
    </row>
    <row r="186" spans="17:18" x14ac:dyDescent="0.25">
      <c r="Q186" s="1">
        <f t="shared" si="18"/>
        <v>0</v>
      </c>
      <c r="R186" s="3">
        <f t="shared" si="19"/>
        <v>0</v>
      </c>
    </row>
    <row r="187" spans="17:18" x14ac:dyDescent="0.25">
      <c r="Q187" s="1">
        <f t="shared" si="18"/>
        <v>0</v>
      </c>
      <c r="R187" s="3">
        <f t="shared" si="19"/>
        <v>0</v>
      </c>
    </row>
    <row r="188" spans="17:18" x14ac:dyDescent="0.25">
      <c r="Q188" s="1">
        <f t="shared" si="18"/>
        <v>0</v>
      </c>
      <c r="R188" s="3">
        <f t="shared" si="19"/>
        <v>0</v>
      </c>
    </row>
    <row r="189" spans="17:18" x14ac:dyDescent="0.25">
      <c r="Q189" s="1">
        <f t="shared" si="18"/>
        <v>0</v>
      </c>
      <c r="R189" s="3">
        <f t="shared" si="19"/>
        <v>0</v>
      </c>
    </row>
    <row r="190" spans="17:18" x14ac:dyDescent="0.25">
      <c r="Q190" s="1">
        <f t="shared" si="18"/>
        <v>0</v>
      </c>
      <c r="R190" s="3">
        <f t="shared" si="19"/>
        <v>0</v>
      </c>
    </row>
    <row r="191" spans="17:18" x14ac:dyDescent="0.25">
      <c r="Q191" s="1">
        <f t="shared" si="18"/>
        <v>0</v>
      </c>
      <c r="R191" s="3">
        <f t="shared" si="19"/>
        <v>0</v>
      </c>
    </row>
    <row r="192" spans="17:18" x14ac:dyDescent="0.25">
      <c r="Q192" s="1">
        <f t="shared" si="18"/>
        <v>0</v>
      </c>
      <c r="R192" s="3">
        <f t="shared" si="19"/>
        <v>0</v>
      </c>
    </row>
    <row r="193" spans="17:18" x14ac:dyDescent="0.25">
      <c r="Q193" s="1">
        <f t="shared" si="18"/>
        <v>0</v>
      </c>
      <c r="R193" s="3">
        <f t="shared" si="19"/>
        <v>0</v>
      </c>
    </row>
    <row r="194" spans="17:18" x14ac:dyDescent="0.25">
      <c r="Q194" s="1">
        <f t="shared" si="18"/>
        <v>0</v>
      </c>
      <c r="R194" s="3">
        <f t="shared" si="19"/>
        <v>0</v>
      </c>
    </row>
    <row r="195" spans="17:18" x14ac:dyDescent="0.25">
      <c r="Q195" s="1">
        <f t="shared" si="18"/>
        <v>0</v>
      </c>
      <c r="R195" s="3">
        <f t="shared" si="19"/>
        <v>0</v>
      </c>
    </row>
    <row r="196" spans="17:18" x14ac:dyDescent="0.25">
      <c r="Q196" s="1">
        <f t="shared" ref="Q196:Q198" si="20">ABS(P196*O196)</f>
        <v>0</v>
      </c>
      <c r="R196" s="3">
        <f t="shared" ref="R196:R198" si="21">Q196/(4*PI()*0.0001)</f>
        <v>0</v>
      </c>
    </row>
    <row r="197" spans="17:18" x14ac:dyDescent="0.25">
      <c r="Q197" s="1">
        <f t="shared" si="20"/>
        <v>0</v>
      </c>
      <c r="R197" s="3">
        <f t="shared" si="21"/>
        <v>0</v>
      </c>
    </row>
    <row r="198" spans="17:18" x14ac:dyDescent="0.25">
      <c r="Q198" s="1">
        <f t="shared" si="20"/>
        <v>0</v>
      </c>
      <c r="R198" s="3">
        <f t="shared" si="21"/>
        <v>0</v>
      </c>
    </row>
  </sheetData>
  <mergeCells count="5">
    <mergeCell ref="C3:F3"/>
    <mergeCell ref="H3:K3"/>
    <mergeCell ref="C12:F12"/>
    <mergeCell ref="H12:K12"/>
    <mergeCell ref="C22:F2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Z134"/>
  <sheetViews>
    <sheetView tabSelected="1" topLeftCell="A72" zoomScale="70" zoomScaleNormal="70" workbookViewId="0">
      <selection activeCell="T134" sqref="T134"/>
    </sheetView>
  </sheetViews>
  <sheetFormatPr defaultRowHeight="15" x14ac:dyDescent="0.25"/>
  <sheetData>
    <row r="3" spans="3:26" ht="15.75" thickBot="1" x14ac:dyDescent="0.3"/>
    <row r="4" spans="3:26" x14ac:dyDescent="0.25">
      <c r="C4" s="10" t="s">
        <v>9</v>
      </c>
      <c r="D4" s="11"/>
      <c r="E4" s="11"/>
      <c r="F4" s="12"/>
      <c r="H4" s="10" t="s">
        <v>10</v>
      </c>
      <c r="I4" s="11"/>
      <c r="J4" s="11"/>
      <c r="K4" s="12"/>
    </row>
    <row r="5" spans="3:26" x14ac:dyDescent="0.25">
      <c r="C5" s="2" t="s">
        <v>1</v>
      </c>
      <c r="D5" s="1" t="s">
        <v>2</v>
      </c>
      <c r="E5" s="1" t="s">
        <v>3</v>
      </c>
      <c r="F5" s="3" t="s">
        <v>4</v>
      </c>
      <c r="H5" s="2" t="s">
        <v>1</v>
      </c>
      <c r="I5" s="1" t="s">
        <v>2</v>
      </c>
      <c r="J5" s="1" t="s">
        <v>3</v>
      </c>
      <c r="K5" s="3" t="s">
        <v>4</v>
      </c>
    </row>
    <row r="6" spans="3:26" x14ac:dyDescent="0.25">
      <c r="C6" s="2">
        <v>-0.18695999999999999</v>
      </c>
      <c r="D6" s="1">
        <v>0.88858999999999999</v>
      </c>
      <c r="E6" s="1">
        <f>ABS(D6*C6)</f>
        <v>0.16613078639999998</v>
      </c>
      <c r="F6" s="3">
        <f>E6/(4*PI()*0.0001)</f>
        <v>132.20267927651909</v>
      </c>
      <c r="H6" s="2">
        <v>-2.426E-2</v>
      </c>
      <c r="I6" s="1">
        <v>1.17554</v>
      </c>
      <c r="J6" s="1">
        <f>ABS(I6*H6)</f>
        <v>2.85186004E-2</v>
      </c>
      <c r="K6" s="3">
        <f>J6/(4*PI()*0.0001)</f>
        <v>22.694381118612519</v>
      </c>
    </row>
    <row r="7" spans="3:26" x14ac:dyDescent="0.25">
      <c r="C7" s="2">
        <v>-0.38396000000000002</v>
      </c>
      <c r="D7" s="1">
        <v>0.67430000000000001</v>
      </c>
      <c r="E7" s="1">
        <f t="shared" ref="E7:E10" si="0">ABS(D7*C7)</f>
        <v>0.25890422800000001</v>
      </c>
      <c r="F7" s="3">
        <f t="shared" ref="F7:F10" si="1">E7/(4*PI()*0.0001)</f>
        <v>206.02943836795549</v>
      </c>
      <c r="H7" s="2">
        <v>-0.22166</v>
      </c>
      <c r="I7" s="1">
        <v>0.96409</v>
      </c>
      <c r="J7" s="1">
        <f t="shared" ref="J7:J10" si="2">ABS(I7*H7)</f>
        <v>0.21370018939999999</v>
      </c>
      <c r="K7" s="3">
        <f t="shared" ref="K7:K11" si="3">J7/(4*PI()*0.0001)</f>
        <v>170.05720741342128</v>
      </c>
    </row>
    <row r="8" spans="3:26" x14ac:dyDescent="0.25">
      <c r="C8" s="2">
        <v>-0.58072000000000001</v>
      </c>
      <c r="D8" s="1">
        <v>0.45917000000000002</v>
      </c>
      <c r="E8" s="1">
        <f t="shared" si="0"/>
        <v>0.26664920240000001</v>
      </c>
      <c r="F8" s="4">
        <f t="shared" si="1"/>
        <v>212.19269316735642</v>
      </c>
      <c r="H8" s="2">
        <v>-0.41885</v>
      </c>
      <c r="I8" s="1">
        <v>0.75185999999999997</v>
      </c>
      <c r="J8" s="1">
        <f t="shared" si="2"/>
        <v>0.31491656099999998</v>
      </c>
      <c r="K8" s="8">
        <f t="shared" si="3"/>
        <v>250.60263672325192</v>
      </c>
    </row>
    <row r="9" spans="3:26" x14ac:dyDescent="0.25">
      <c r="C9" s="2">
        <v>-0.77710999999999997</v>
      </c>
      <c r="D9" s="1">
        <v>0.24196000000000001</v>
      </c>
      <c r="E9" s="1">
        <f t="shared" si="0"/>
        <v>0.18802953559999999</v>
      </c>
      <c r="F9" s="8">
        <f t="shared" si="1"/>
        <v>149.62915019006755</v>
      </c>
      <c r="H9" s="2">
        <v>-0.61521000000000003</v>
      </c>
      <c r="I9" s="1">
        <v>0.53615000000000002</v>
      </c>
      <c r="J9" s="1">
        <f t="shared" si="2"/>
        <v>0.32984484150000004</v>
      </c>
      <c r="K9" s="4">
        <f t="shared" si="3"/>
        <v>262.4821848904387</v>
      </c>
    </row>
    <row r="10" spans="3:26" ht="15.75" thickBot="1" x14ac:dyDescent="0.3">
      <c r="C10" s="5">
        <v>-0.97336</v>
      </c>
      <c r="D10" s="6">
        <v>2.418E-2</v>
      </c>
      <c r="E10" s="6">
        <f t="shared" si="0"/>
        <v>2.35358448E-2</v>
      </c>
      <c r="F10" s="7">
        <f t="shared" si="1"/>
        <v>18.729230198818406</v>
      </c>
      <c r="H10" s="2">
        <v>-0.81176000000000004</v>
      </c>
      <c r="I10" s="1">
        <v>0.32102000000000003</v>
      </c>
      <c r="J10" s="1">
        <f t="shared" si="2"/>
        <v>0.26059119520000001</v>
      </c>
      <c r="K10" s="3">
        <f t="shared" si="3"/>
        <v>207.37188421152496</v>
      </c>
    </row>
    <row r="11" spans="3:26" ht="15.75" thickBot="1" x14ac:dyDescent="0.3">
      <c r="H11" s="5">
        <v>-1.0080100000000001</v>
      </c>
      <c r="I11" s="6">
        <v>0.10481</v>
      </c>
      <c r="J11" s="6">
        <f>ABS(I11*H11)</f>
        <v>0.10564952810000001</v>
      </c>
      <c r="K11" s="7">
        <f t="shared" si="3"/>
        <v>84.073223162205508</v>
      </c>
      <c r="S11" t="s">
        <v>39</v>
      </c>
      <c r="T11" s="3" t="s">
        <v>4</v>
      </c>
      <c r="Y11" t="s">
        <v>39</v>
      </c>
      <c r="Z11" s="3" t="s">
        <v>4</v>
      </c>
    </row>
    <row r="12" spans="3:26" ht="15.75" thickBot="1" x14ac:dyDescent="0.3">
      <c r="Q12">
        <v>8.2699999999999996E-3</v>
      </c>
      <c r="R12">
        <v>1.36904</v>
      </c>
      <c r="S12" s="1">
        <f>ABS(R12*Q12)</f>
        <v>1.1321960799999999E-2</v>
      </c>
      <c r="T12" s="3">
        <f>S12/(4*PI()*0.0001)</f>
        <v>9.0097301340633482</v>
      </c>
      <c r="W12">
        <v>1.7100000000000001E-2</v>
      </c>
      <c r="X12">
        <v>1.2395400000000001</v>
      </c>
      <c r="Y12" s="1">
        <f>ABS(X12*W12)</f>
        <v>2.1196134000000002E-2</v>
      </c>
      <c r="Z12" s="3">
        <f>Y12/(4*PI()*0.0001)</f>
        <v>16.86734750269094</v>
      </c>
    </row>
    <row r="13" spans="3:26" x14ac:dyDescent="0.25">
      <c r="C13" s="10" t="s">
        <v>11</v>
      </c>
      <c r="D13" s="11"/>
      <c r="E13" s="11"/>
      <c r="F13" s="12"/>
      <c r="H13" s="10" t="s">
        <v>12</v>
      </c>
      <c r="I13" s="11"/>
      <c r="J13" s="11"/>
      <c r="K13" s="12"/>
      <c r="Q13">
        <v>-3.6700000000000001E-3</v>
      </c>
      <c r="R13">
        <v>1.35693</v>
      </c>
      <c r="S13" s="1">
        <f t="shared" ref="S13:S76" si="4">ABS(R13*Q13)</f>
        <v>4.9799331000000002E-3</v>
      </c>
      <c r="T13" s="3">
        <f t="shared" ref="T13:T76" si="5">S13/(4*PI()*0.0001)</f>
        <v>3.9629048456597298</v>
      </c>
      <c r="W13">
        <v>6.4999999999999997E-3</v>
      </c>
      <c r="X13">
        <v>1.22618</v>
      </c>
      <c r="Y13" s="1">
        <f t="shared" ref="Y13:Y76" si="6">ABS(X13*W13)</f>
        <v>7.9701700000000004E-3</v>
      </c>
      <c r="Z13" s="3">
        <f t="shared" ref="Z13:Z76" si="7">Y13/(4*PI()*0.0001)</f>
        <v>6.3424597639136575</v>
      </c>
    </row>
    <row r="14" spans="3:26" x14ac:dyDescent="0.25">
      <c r="C14" s="2" t="s">
        <v>1</v>
      </c>
      <c r="D14" s="1" t="s">
        <v>2</v>
      </c>
      <c r="E14" s="1" t="s">
        <v>3</v>
      </c>
      <c r="F14" s="3" t="s">
        <v>4</v>
      </c>
      <c r="H14" s="2" t="s">
        <v>1</v>
      </c>
      <c r="I14" s="1" t="s">
        <v>2</v>
      </c>
      <c r="J14" s="1" t="s">
        <v>3</v>
      </c>
      <c r="K14" s="3" t="s">
        <v>4</v>
      </c>
      <c r="Q14">
        <v>-1.438E-2</v>
      </c>
      <c r="R14">
        <v>1.34534</v>
      </c>
      <c r="S14" s="1">
        <f t="shared" si="4"/>
        <v>1.93459892E-2</v>
      </c>
      <c r="T14" s="3">
        <f t="shared" si="5"/>
        <v>15.39504905091211</v>
      </c>
      <c r="W14">
        <v>-4.9199999999999999E-3</v>
      </c>
      <c r="X14">
        <v>1.21454</v>
      </c>
      <c r="Y14" s="1">
        <f t="shared" si="6"/>
        <v>5.9755367999999994E-3</v>
      </c>
      <c r="Z14" s="3">
        <f t="shared" si="7"/>
        <v>4.7551810967376316</v>
      </c>
    </row>
    <row r="15" spans="3:26" x14ac:dyDescent="0.25">
      <c r="C15" s="2">
        <v>9.1679999999999998E-2</v>
      </c>
      <c r="D15" s="1">
        <v>1.3029200000000001</v>
      </c>
      <c r="E15" s="1">
        <f>ABS(D15*C15)</f>
        <v>0.1194517056</v>
      </c>
      <c r="F15" s="3">
        <f>E15/(4*PI()*0.0001)</f>
        <v>95.056647034989183</v>
      </c>
      <c r="H15" s="2">
        <v>-7.2910000000000003E-2</v>
      </c>
      <c r="I15" s="1">
        <v>1.1733199999999999</v>
      </c>
      <c r="J15" s="1">
        <f>ABS(I15*H15)</f>
        <v>8.5546761200000002E-2</v>
      </c>
      <c r="K15" s="3">
        <f>J15/(4*PI()*0.0001)</f>
        <v>68.07594955240981</v>
      </c>
      <c r="Q15">
        <v>-2.4500000000000001E-2</v>
      </c>
      <c r="R15">
        <v>1.33409</v>
      </c>
      <c r="S15" s="1">
        <f t="shared" si="4"/>
        <v>3.2685205000000002E-2</v>
      </c>
      <c r="T15" s="3">
        <f t="shared" si="5"/>
        <v>26.010059708609667</v>
      </c>
      <c r="W15">
        <v>-1.6789999999999999E-2</v>
      </c>
      <c r="X15">
        <v>1.20224</v>
      </c>
      <c r="Y15" s="1">
        <f t="shared" si="6"/>
        <v>2.0185609599999998E-2</v>
      </c>
      <c r="Z15" s="3">
        <f t="shared" si="7"/>
        <v>16.063197735816079</v>
      </c>
    </row>
    <row r="16" spans="3:26" x14ac:dyDescent="0.25">
      <c r="C16" s="2">
        <v>-0.10531</v>
      </c>
      <c r="D16" s="1">
        <v>1.09409</v>
      </c>
      <c r="E16" s="1">
        <f t="shared" ref="E16:E21" si="8">ABS(D16*C16)</f>
        <v>0.1152186179</v>
      </c>
      <c r="F16" s="3">
        <f t="shared" ref="F16:F21" si="9">E16/(4*PI()*0.0001)</f>
        <v>91.688062875006665</v>
      </c>
      <c r="H16" s="2">
        <v>-0.27024999999999999</v>
      </c>
      <c r="I16" s="1">
        <v>0.96391000000000004</v>
      </c>
      <c r="J16" s="1">
        <f t="shared" ref="J16:J20" si="10">ABS(I16*H16)</f>
        <v>0.2604966775</v>
      </c>
      <c r="K16" s="3">
        <f t="shared" ref="K16:K20" si="11">J16/(4*PI()*0.0001)</f>
        <v>207.29666941570156</v>
      </c>
      <c r="Q16">
        <v>-3.5220000000000001E-2</v>
      </c>
      <c r="R16">
        <v>1.32406</v>
      </c>
      <c r="S16" s="1">
        <f t="shared" si="4"/>
        <v>4.6633393200000005E-2</v>
      </c>
      <c r="T16" s="3">
        <f t="shared" si="5"/>
        <v>37.109675204639899</v>
      </c>
      <c r="W16">
        <v>-2.8930000000000001E-2</v>
      </c>
      <c r="X16">
        <v>1.1890000000000001</v>
      </c>
      <c r="Y16" s="1">
        <f t="shared" si="6"/>
        <v>3.4397770000000001E-2</v>
      </c>
      <c r="Z16" s="3">
        <f t="shared" si="7"/>
        <v>27.372875634190525</v>
      </c>
    </row>
    <row r="17" spans="3:26" x14ac:dyDescent="0.25">
      <c r="C17" s="2">
        <v>-0.30198999999999998</v>
      </c>
      <c r="D17" s="1">
        <v>0.88424000000000003</v>
      </c>
      <c r="E17" s="1">
        <f t="shared" si="8"/>
        <v>0.26703163759999998</v>
      </c>
      <c r="F17" s="8">
        <f t="shared" si="9"/>
        <v>212.49702542981808</v>
      </c>
      <c r="H17" s="2">
        <v>-0.46717999999999998</v>
      </c>
      <c r="I17" s="1">
        <v>0.75294000000000005</v>
      </c>
      <c r="J17" s="1">
        <f t="shared" si="10"/>
        <v>0.35175850920000001</v>
      </c>
      <c r="K17" s="8">
        <f t="shared" si="11"/>
        <v>279.92052756907975</v>
      </c>
      <c r="Q17">
        <v>-4.4450000000000003E-2</v>
      </c>
      <c r="R17">
        <v>1.3140099999999999</v>
      </c>
      <c r="S17" s="1">
        <f t="shared" si="4"/>
        <v>5.8407744499999997E-2</v>
      </c>
      <c r="T17" s="3">
        <f t="shared" si="5"/>
        <v>46.479406260117315</v>
      </c>
      <c r="W17">
        <v>-3.959E-2</v>
      </c>
      <c r="X17">
        <v>1.1772899999999999</v>
      </c>
      <c r="Y17" s="1">
        <f t="shared" si="6"/>
        <v>4.6608911099999997E-2</v>
      </c>
      <c r="Z17" s="3">
        <f t="shared" si="7"/>
        <v>37.090192968478547</v>
      </c>
    </row>
    <row r="18" spans="3:26" x14ac:dyDescent="0.25">
      <c r="C18" s="2">
        <v>-0.49781999999999998</v>
      </c>
      <c r="D18" s="1">
        <v>0.67205999999999999</v>
      </c>
      <c r="E18" s="1">
        <f t="shared" si="8"/>
        <v>0.33456490919999998</v>
      </c>
      <c r="F18" s="4">
        <f t="shared" si="9"/>
        <v>266.23829542135564</v>
      </c>
      <c r="H18" s="2">
        <v>-0.66352</v>
      </c>
      <c r="I18" s="1">
        <v>0.53986999999999996</v>
      </c>
      <c r="J18" s="1">
        <f t="shared" si="10"/>
        <v>0.35821454239999995</v>
      </c>
      <c r="K18" s="4">
        <f t="shared" si="11"/>
        <v>285.05807555180661</v>
      </c>
      <c r="Q18">
        <v>-5.4010000000000002E-2</v>
      </c>
      <c r="R18">
        <v>1.3031299999999999</v>
      </c>
      <c r="S18" s="1">
        <f t="shared" si="4"/>
        <v>7.0382051299999998E-2</v>
      </c>
      <c r="T18" s="3">
        <f t="shared" si="5"/>
        <v>56.008256846711795</v>
      </c>
      <c r="W18">
        <v>-5.1790000000000003E-2</v>
      </c>
      <c r="X18">
        <v>1.16415</v>
      </c>
      <c r="Y18" s="1">
        <f t="shared" si="6"/>
        <v>6.0291328500000005E-2</v>
      </c>
      <c r="Z18" s="3">
        <f t="shared" si="7"/>
        <v>47.978314781761341</v>
      </c>
    </row>
    <row r="19" spans="3:26" x14ac:dyDescent="0.25">
      <c r="C19" s="2">
        <v>-0.69296999999999997</v>
      </c>
      <c r="D19" s="1">
        <v>0.45784999999999998</v>
      </c>
      <c r="E19" s="1">
        <f t="shared" si="8"/>
        <v>0.31727631449999999</v>
      </c>
      <c r="F19" s="3">
        <f t="shared" si="9"/>
        <v>252.48046889326895</v>
      </c>
      <c r="H19" s="2">
        <v>-0.85960999999999999</v>
      </c>
      <c r="I19" s="1">
        <v>0.32591999999999999</v>
      </c>
      <c r="J19" s="1">
        <f t="shared" si="10"/>
        <v>0.28016409119999997</v>
      </c>
      <c r="K19" s="3">
        <f t="shared" si="11"/>
        <v>222.94749995664284</v>
      </c>
      <c r="Q19">
        <v>-6.5509999999999999E-2</v>
      </c>
      <c r="R19">
        <v>1.29165</v>
      </c>
      <c r="S19" s="1">
        <f t="shared" si="4"/>
        <v>8.4615991500000001E-2</v>
      </c>
      <c r="T19" s="3">
        <f t="shared" si="5"/>
        <v>67.335266559234</v>
      </c>
      <c r="W19">
        <v>-6.447E-2</v>
      </c>
      <c r="X19">
        <v>1.15038</v>
      </c>
      <c r="Y19" s="1">
        <f t="shared" si="6"/>
        <v>7.416499859999999E-2</v>
      </c>
      <c r="Z19" s="3">
        <f t="shared" si="7"/>
        <v>59.018630657967478</v>
      </c>
    </row>
    <row r="20" spans="3:26" ht="15.75" thickBot="1" x14ac:dyDescent="0.3">
      <c r="C20" s="2">
        <v>-0.88783000000000001</v>
      </c>
      <c r="D20" s="1">
        <v>0.24285999999999999</v>
      </c>
      <c r="E20" s="1">
        <f t="shared" si="8"/>
        <v>0.2156183938</v>
      </c>
      <c r="F20" s="3">
        <f t="shared" si="9"/>
        <v>171.5836659740244</v>
      </c>
      <c r="H20" s="5">
        <v>-1.0551200000000001</v>
      </c>
      <c r="I20" s="6">
        <v>0.10994</v>
      </c>
      <c r="J20" s="6">
        <f t="shared" si="10"/>
        <v>0.1159998928</v>
      </c>
      <c r="K20" s="7">
        <f t="shared" si="11"/>
        <v>92.309781686249806</v>
      </c>
      <c r="Q20">
        <v>-7.6149999999999995E-2</v>
      </c>
      <c r="R20">
        <v>1.28145</v>
      </c>
      <c r="S20" s="1">
        <f t="shared" si="4"/>
        <v>9.758241749999999E-2</v>
      </c>
      <c r="T20" s="3">
        <f t="shared" si="5"/>
        <v>77.653620519910348</v>
      </c>
      <c r="W20">
        <v>-7.528E-2</v>
      </c>
      <c r="X20">
        <v>1.1389</v>
      </c>
      <c r="Y20" s="1">
        <f t="shared" si="6"/>
        <v>8.5736391999999995E-2</v>
      </c>
      <c r="Z20" s="3">
        <f t="shared" si="7"/>
        <v>68.226852948322147</v>
      </c>
    </row>
    <row r="21" spans="3:26" ht="15.75" thickBot="1" x14ac:dyDescent="0.3">
      <c r="C21" s="5">
        <v>-1.0825199999999999</v>
      </c>
      <c r="D21" s="6">
        <v>2.7349999999999999E-2</v>
      </c>
      <c r="E21" s="6">
        <f t="shared" si="8"/>
        <v>2.9606921999999997E-2</v>
      </c>
      <c r="F21" s="7">
        <f t="shared" si="9"/>
        <v>23.56043993018092</v>
      </c>
      <c r="Q21">
        <v>-9.5869999999999997E-2</v>
      </c>
      <c r="R21">
        <v>1.26088</v>
      </c>
      <c r="S21" s="1">
        <f t="shared" si="4"/>
        <v>0.12088056559999999</v>
      </c>
      <c r="T21" s="3">
        <f t="shared" si="5"/>
        <v>96.193697694920601</v>
      </c>
      <c r="W21">
        <v>-8.6610000000000006E-2</v>
      </c>
      <c r="X21">
        <v>1.12704</v>
      </c>
      <c r="Y21" s="1">
        <f t="shared" si="6"/>
        <v>9.7612934400000018E-2</v>
      </c>
      <c r="Z21" s="3">
        <f t="shared" si="7"/>
        <v>77.677905097324583</v>
      </c>
    </row>
    <row r="22" spans="3:26" ht="15.75" thickBot="1" x14ac:dyDescent="0.3">
      <c r="Q22">
        <v>-0.10274999999999999</v>
      </c>
      <c r="R22">
        <v>1.2536400000000001</v>
      </c>
      <c r="S22" s="1">
        <f t="shared" si="4"/>
        <v>0.12881150999999999</v>
      </c>
      <c r="T22" s="3">
        <f t="shared" si="5"/>
        <v>102.50494271815553</v>
      </c>
      <c r="W22">
        <v>-9.5920000000000005E-2</v>
      </c>
      <c r="X22">
        <v>1.11711</v>
      </c>
      <c r="Y22" s="1">
        <f t="shared" si="6"/>
        <v>0.10715319120000001</v>
      </c>
      <c r="Z22" s="3">
        <f t="shared" si="7"/>
        <v>85.269800237754907</v>
      </c>
    </row>
    <row r="23" spans="3:26" x14ac:dyDescent="0.25">
      <c r="C23" s="10" t="s">
        <v>13</v>
      </c>
      <c r="D23" s="11"/>
      <c r="E23" s="11"/>
      <c r="F23" s="12"/>
      <c r="Q23">
        <v>-0.1153</v>
      </c>
      <c r="R23">
        <v>1.24116</v>
      </c>
      <c r="S23" s="1">
        <f t="shared" si="4"/>
        <v>0.143105748</v>
      </c>
      <c r="T23" s="3">
        <f t="shared" si="5"/>
        <v>113.87993589531558</v>
      </c>
      <c r="W23">
        <v>-0.10509</v>
      </c>
      <c r="X23">
        <v>1.1069100000000001</v>
      </c>
      <c r="Y23" s="1">
        <f t="shared" si="6"/>
        <v>0.11632517190000001</v>
      </c>
      <c r="Z23" s="3">
        <f t="shared" si="7"/>
        <v>92.56863056949723</v>
      </c>
    </row>
    <row r="24" spans="3:26" x14ac:dyDescent="0.25">
      <c r="C24" s="2" t="s">
        <v>1</v>
      </c>
      <c r="D24" s="1" t="s">
        <v>2</v>
      </c>
      <c r="E24" s="1" t="s">
        <v>3</v>
      </c>
      <c r="F24" s="3" t="s">
        <v>4</v>
      </c>
      <c r="Q24">
        <v>-0.12511</v>
      </c>
      <c r="R24">
        <v>1.2291799999999999</v>
      </c>
      <c r="S24" s="1">
        <f t="shared" si="4"/>
        <v>0.1537827098</v>
      </c>
      <c r="T24" s="3">
        <f t="shared" si="5"/>
        <v>122.37639213368229</v>
      </c>
      <c r="W24">
        <v>-0.11527</v>
      </c>
      <c r="X24">
        <v>1.0957399999999999</v>
      </c>
      <c r="Y24" s="1">
        <f t="shared" si="6"/>
        <v>0.12630594979999998</v>
      </c>
      <c r="Z24" s="3">
        <f t="shared" si="7"/>
        <v>100.51108126293394</v>
      </c>
    </row>
    <row r="25" spans="3:26" x14ac:dyDescent="0.25">
      <c r="C25" s="2">
        <v>0.10435999999999999</v>
      </c>
      <c r="D25" s="1">
        <v>1.4844200000000001</v>
      </c>
      <c r="E25" s="1">
        <f>ABS(D25*C25)</f>
        <v>0.1549140712</v>
      </c>
      <c r="F25" s="3">
        <f>E25/(4*PI()*0.0001)</f>
        <v>123.27670092984911</v>
      </c>
      <c r="Q25">
        <v>-0.13575999999999999</v>
      </c>
      <c r="R25">
        <v>1.21896</v>
      </c>
      <c r="S25" s="1">
        <f t="shared" si="4"/>
        <v>0.16548600959999998</v>
      </c>
      <c r="T25" s="3">
        <f t="shared" si="5"/>
        <v>131.68958220196421</v>
      </c>
      <c r="W25">
        <v>-0.12612000000000001</v>
      </c>
      <c r="X25">
        <v>1.0844199999999999</v>
      </c>
      <c r="Y25" s="1">
        <f t="shared" si="6"/>
        <v>0.13676705040000001</v>
      </c>
      <c r="Z25" s="3">
        <f t="shared" si="7"/>
        <v>108.83576061629192</v>
      </c>
    </row>
    <row r="26" spans="3:26" x14ac:dyDescent="0.25">
      <c r="C26" s="2">
        <v>-9.4159999999999994E-2</v>
      </c>
      <c r="D26" s="1">
        <v>1.2789999999999999</v>
      </c>
      <c r="E26" s="1">
        <f t="shared" ref="E26:E31" si="12">ABS(D26*C26)</f>
        <v>0.12043063999999998</v>
      </c>
      <c r="F26" s="3">
        <f t="shared" ref="F26:F31" si="13">E26/(4*PI()*0.0001)</f>
        <v>95.835658278602651</v>
      </c>
      <c r="Q26">
        <v>-0.14752999999999999</v>
      </c>
      <c r="R26">
        <v>1.2064699999999999</v>
      </c>
      <c r="S26" s="1">
        <f t="shared" si="4"/>
        <v>0.17799051909999999</v>
      </c>
      <c r="T26" s="3">
        <f t="shared" si="5"/>
        <v>141.64035469128706</v>
      </c>
      <c r="W26">
        <v>-0.13804</v>
      </c>
      <c r="X26">
        <v>1.0722799999999999</v>
      </c>
      <c r="Y26" s="1">
        <f t="shared" si="6"/>
        <v>0.14801753119999997</v>
      </c>
      <c r="Z26" s="3">
        <f t="shared" si="7"/>
        <v>117.78860877369419</v>
      </c>
    </row>
    <row r="27" spans="3:26" x14ac:dyDescent="0.25">
      <c r="C27" s="2">
        <v>-0.29226999999999997</v>
      </c>
      <c r="D27" s="1">
        <v>1.07203</v>
      </c>
      <c r="E27" s="1">
        <f t="shared" si="12"/>
        <v>0.3133222081</v>
      </c>
      <c r="F27" s="8">
        <f t="shared" si="13"/>
        <v>249.33389099791245</v>
      </c>
      <c r="Q27">
        <v>-0.15853999999999999</v>
      </c>
      <c r="R27">
        <v>1.1954899999999999</v>
      </c>
      <c r="S27" s="1">
        <f t="shared" si="4"/>
        <v>0.18953298459999998</v>
      </c>
      <c r="T27" s="3">
        <f t="shared" si="5"/>
        <v>150.82555689025037</v>
      </c>
      <c r="W27">
        <v>-0.14882000000000001</v>
      </c>
      <c r="X27">
        <v>1.0608299999999999</v>
      </c>
      <c r="Y27" s="1">
        <f t="shared" si="6"/>
        <v>0.15787272059999999</v>
      </c>
      <c r="Z27" s="3">
        <f t="shared" si="7"/>
        <v>125.63111931427846</v>
      </c>
    </row>
    <row r="28" spans="3:26" x14ac:dyDescent="0.25">
      <c r="C28" s="2">
        <v>-0.48870999999999998</v>
      </c>
      <c r="D28" s="1">
        <v>0.85897000000000001</v>
      </c>
      <c r="E28" s="1">
        <f t="shared" si="12"/>
        <v>0.41978722869999996</v>
      </c>
      <c r="F28" s="9">
        <f t="shared" si="13"/>
        <v>334.05606247226473</v>
      </c>
      <c r="Q28">
        <v>-0.16944999999999999</v>
      </c>
      <c r="R28">
        <v>1.18431</v>
      </c>
      <c r="S28" s="1">
        <f t="shared" si="4"/>
        <v>0.20068132949999998</v>
      </c>
      <c r="T28" s="3">
        <f t="shared" si="5"/>
        <v>159.69712788089197</v>
      </c>
      <c r="W28">
        <v>-0.15795000000000001</v>
      </c>
      <c r="X28">
        <v>1.05054</v>
      </c>
      <c r="Y28" s="1">
        <f t="shared" si="6"/>
        <v>0.16593279300000002</v>
      </c>
      <c r="Z28" s="3">
        <f t="shared" si="7"/>
        <v>132.04512113497128</v>
      </c>
    </row>
    <row r="29" spans="3:26" x14ac:dyDescent="0.25">
      <c r="C29" s="2">
        <v>-0.68498000000000003</v>
      </c>
      <c r="D29" s="1">
        <v>0.64522999999999997</v>
      </c>
      <c r="E29" s="1">
        <f t="shared" si="12"/>
        <v>0.4419696454</v>
      </c>
      <c r="F29" s="4">
        <f t="shared" si="13"/>
        <v>351.70826880991081</v>
      </c>
      <c r="Q29">
        <v>-0.18057000000000001</v>
      </c>
      <c r="R29">
        <v>1.1720299999999999</v>
      </c>
      <c r="S29" s="1">
        <f t="shared" si="4"/>
        <v>0.21163345710000001</v>
      </c>
      <c r="T29" s="3">
        <f t="shared" si="5"/>
        <v>168.41255410545787</v>
      </c>
      <c r="W29">
        <v>-0.16825999999999999</v>
      </c>
      <c r="X29">
        <v>1.0381199999999999</v>
      </c>
      <c r="Y29" s="1">
        <f t="shared" si="6"/>
        <v>0.17467407119999998</v>
      </c>
      <c r="Z29" s="3">
        <f t="shared" si="7"/>
        <v>139.00120930732837</v>
      </c>
    </row>
    <row r="30" spans="3:26" x14ac:dyDescent="0.25">
      <c r="C30" s="2">
        <v>-0.88132999999999995</v>
      </c>
      <c r="D30" s="1">
        <v>0.43192000000000003</v>
      </c>
      <c r="E30" s="1">
        <f t="shared" si="12"/>
        <v>0.3806640536</v>
      </c>
      <c r="F30" s="3">
        <f t="shared" si="13"/>
        <v>302.92282893919099</v>
      </c>
      <c r="Q30">
        <v>-0.19028999999999999</v>
      </c>
      <c r="R30">
        <v>1.1629499999999999</v>
      </c>
      <c r="S30" s="1">
        <f t="shared" si="4"/>
        <v>0.22129775549999997</v>
      </c>
      <c r="T30" s="3">
        <f t="shared" si="5"/>
        <v>176.10315841483333</v>
      </c>
      <c r="W30">
        <v>-0.18067</v>
      </c>
      <c r="X30">
        <v>1.02542</v>
      </c>
      <c r="Y30" s="1">
        <f t="shared" si="6"/>
        <v>0.18526263139999999</v>
      </c>
      <c r="Z30" s="3">
        <f t="shared" si="7"/>
        <v>147.4273177876089</v>
      </c>
    </row>
    <row r="31" spans="3:26" ht="15.75" thickBot="1" x14ac:dyDescent="0.3">
      <c r="C31" s="5">
        <v>-1.0766800000000001</v>
      </c>
      <c r="D31" s="6">
        <v>0.21484</v>
      </c>
      <c r="E31" s="6">
        <f t="shared" si="12"/>
        <v>0.23131393120000002</v>
      </c>
      <c r="F31" s="7">
        <f t="shared" si="13"/>
        <v>184.07377778249298</v>
      </c>
      <c r="Q31">
        <v>-0.2001</v>
      </c>
      <c r="R31">
        <v>1.15256</v>
      </c>
      <c r="S31" s="1">
        <f t="shared" si="4"/>
        <v>0.230627256</v>
      </c>
      <c r="T31" s="3">
        <f t="shared" si="5"/>
        <v>183.5273390205999</v>
      </c>
      <c r="W31">
        <v>-0.19142999999999999</v>
      </c>
      <c r="X31">
        <v>1.01389</v>
      </c>
      <c r="Y31" s="1">
        <f t="shared" si="6"/>
        <v>0.19408896269999998</v>
      </c>
      <c r="Z31" s="3">
        <f t="shared" si="7"/>
        <v>154.45108906641747</v>
      </c>
    </row>
    <row r="32" spans="3:26" x14ac:dyDescent="0.25">
      <c r="Q32">
        <v>-0.21102000000000001</v>
      </c>
      <c r="R32">
        <v>1.13991</v>
      </c>
      <c r="S32" s="1">
        <f t="shared" si="4"/>
        <v>0.24054380820000001</v>
      </c>
      <c r="T32" s="3">
        <f t="shared" si="5"/>
        <v>191.41868052589396</v>
      </c>
      <c r="W32">
        <v>-0.20113</v>
      </c>
      <c r="X32">
        <v>1.00329</v>
      </c>
      <c r="Y32" s="1">
        <f t="shared" si="6"/>
        <v>0.20179171770000001</v>
      </c>
      <c r="Z32" s="3">
        <f t="shared" si="7"/>
        <v>160.58074673479655</v>
      </c>
    </row>
    <row r="33" spans="17:26" x14ac:dyDescent="0.25">
      <c r="Q33">
        <v>-0.22167000000000001</v>
      </c>
      <c r="R33">
        <v>1.1297299999999999</v>
      </c>
      <c r="S33" s="1">
        <f t="shared" si="4"/>
        <v>0.25042724909999997</v>
      </c>
      <c r="T33" s="3">
        <f t="shared" si="5"/>
        <v>199.28367289585196</v>
      </c>
      <c r="W33">
        <v>-0.21156</v>
      </c>
      <c r="X33">
        <v>0.99261999999999995</v>
      </c>
      <c r="Y33" s="1">
        <f t="shared" si="6"/>
        <v>0.20999868719999998</v>
      </c>
      <c r="Z33" s="3">
        <f t="shared" si="7"/>
        <v>167.11164555344365</v>
      </c>
    </row>
    <row r="34" spans="17:26" x14ac:dyDescent="0.25">
      <c r="Q34">
        <v>-0.23258000000000001</v>
      </c>
      <c r="R34">
        <v>1.1185499999999999</v>
      </c>
      <c r="S34" s="1">
        <f t="shared" si="4"/>
        <v>0.260152359</v>
      </c>
      <c r="T34" s="3">
        <f t="shared" si="5"/>
        <v>207.02266945933664</v>
      </c>
      <c r="W34">
        <v>-0.22226000000000001</v>
      </c>
      <c r="X34">
        <v>0.98104000000000002</v>
      </c>
      <c r="Y34" s="1">
        <f t="shared" si="6"/>
        <v>0.21804595040000002</v>
      </c>
      <c r="Z34" s="3">
        <f t="shared" si="7"/>
        <v>173.51545413665119</v>
      </c>
    </row>
    <row r="35" spans="17:26" x14ac:dyDescent="0.25">
      <c r="Q35">
        <v>-0.24276</v>
      </c>
      <c r="R35">
        <v>1.1073999999999999</v>
      </c>
      <c r="S35" s="1">
        <f t="shared" si="4"/>
        <v>0.26883242400000001</v>
      </c>
      <c r="T35" s="3">
        <f t="shared" si="5"/>
        <v>213.9300457148814</v>
      </c>
      <c r="W35">
        <v>-0.2329</v>
      </c>
      <c r="X35">
        <v>0.96935000000000004</v>
      </c>
      <c r="Y35" s="1">
        <f t="shared" si="6"/>
        <v>0.225761615</v>
      </c>
      <c r="Z35" s="3">
        <f t="shared" si="7"/>
        <v>179.65538493829692</v>
      </c>
    </row>
    <row r="36" spans="17:26" x14ac:dyDescent="0.25">
      <c r="Q36">
        <v>-0.25219999999999998</v>
      </c>
      <c r="R36">
        <v>1.09778</v>
      </c>
      <c r="S36" s="1">
        <f t="shared" si="4"/>
        <v>0.27686011599999999</v>
      </c>
      <c r="T36" s="3">
        <f t="shared" si="5"/>
        <v>220.31828003197771</v>
      </c>
      <c r="W36">
        <v>-0.24365999999999999</v>
      </c>
      <c r="X36">
        <v>0.95787</v>
      </c>
      <c r="Y36" s="1">
        <f t="shared" si="6"/>
        <v>0.23339460419999999</v>
      </c>
      <c r="Z36" s="3">
        <f t="shared" si="7"/>
        <v>185.72952474703217</v>
      </c>
    </row>
    <row r="37" spans="17:26" x14ac:dyDescent="0.25">
      <c r="Q37">
        <v>-0.26316000000000001</v>
      </c>
      <c r="R37">
        <v>1.08667</v>
      </c>
      <c r="S37" s="1">
        <f t="shared" si="4"/>
        <v>0.2859680772</v>
      </c>
      <c r="T37" s="3">
        <f t="shared" si="5"/>
        <v>227.56616526432367</v>
      </c>
      <c r="W37">
        <v>-0.25435000000000002</v>
      </c>
      <c r="X37">
        <v>0.94621999999999995</v>
      </c>
      <c r="Y37" s="1">
        <f t="shared" si="6"/>
        <v>0.24067105699999999</v>
      </c>
      <c r="Z37" s="3">
        <f t="shared" si="7"/>
        <v>191.51994190350649</v>
      </c>
    </row>
    <row r="38" spans="17:26" x14ac:dyDescent="0.25">
      <c r="Q38">
        <v>-0.27406000000000003</v>
      </c>
      <c r="R38">
        <v>1.0754600000000001</v>
      </c>
      <c r="S38" s="1">
        <f t="shared" si="4"/>
        <v>0.29474056760000006</v>
      </c>
      <c r="T38" s="3">
        <f t="shared" si="5"/>
        <v>234.54709131625472</v>
      </c>
      <c r="W38">
        <v>-0.26561000000000001</v>
      </c>
      <c r="X38">
        <v>0.93423</v>
      </c>
      <c r="Y38" s="1">
        <f t="shared" si="6"/>
        <v>0.2481408303</v>
      </c>
      <c r="Z38" s="3">
        <f t="shared" si="7"/>
        <v>197.4641986258608</v>
      </c>
    </row>
    <row r="39" spans="17:26" x14ac:dyDescent="0.25">
      <c r="Q39">
        <v>-0.28458</v>
      </c>
      <c r="R39">
        <v>1.0635600000000001</v>
      </c>
      <c r="S39" s="1">
        <f t="shared" si="4"/>
        <v>0.3026679048</v>
      </c>
      <c r="T39" s="3">
        <f t="shared" si="5"/>
        <v>240.85546582093599</v>
      </c>
      <c r="W39">
        <v>-0.27589000000000002</v>
      </c>
      <c r="X39">
        <v>0.92327000000000004</v>
      </c>
      <c r="Y39" s="1">
        <f t="shared" si="6"/>
        <v>0.25472096030000002</v>
      </c>
      <c r="Z39" s="3">
        <f t="shared" si="7"/>
        <v>202.70049970429719</v>
      </c>
    </row>
    <row r="40" spans="17:26" x14ac:dyDescent="0.25">
      <c r="Q40">
        <v>-0.29646</v>
      </c>
      <c r="R40">
        <v>1.05139</v>
      </c>
      <c r="S40" s="1">
        <f t="shared" si="4"/>
        <v>0.31169507940000002</v>
      </c>
      <c r="T40" s="3">
        <f t="shared" si="5"/>
        <v>248.03906311965403</v>
      </c>
      <c r="W40">
        <v>-0.28555999999999998</v>
      </c>
      <c r="X40">
        <v>0.91257999999999995</v>
      </c>
      <c r="Y40" s="1">
        <f t="shared" si="6"/>
        <v>0.26059634479999999</v>
      </c>
      <c r="Z40" s="3">
        <f t="shared" si="7"/>
        <v>207.37598213299967</v>
      </c>
    </row>
    <row r="41" spans="17:26" x14ac:dyDescent="0.25">
      <c r="Q41">
        <v>-0.30745</v>
      </c>
      <c r="R41">
        <v>1.04036</v>
      </c>
      <c r="S41" s="1">
        <f t="shared" si="4"/>
        <v>0.31985868200000001</v>
      </c>
      <c r="T41" s="3">
        <f t="shared" si="5"/>
        <v>254.53545165579325</v>
      </c>
      <c r="W41">
        <v>-0.29644999999999999</v>
      </c>
      <c r="X41">
        <v>0.89980000000000004</v>
      </c>
      <c r="Y41" s="1">
        <f t="shared" si="6"/>
        <v>0.26674571000000002</v>
      </c>
      <c r="Z41" s="3">
        <f t="shared" si="7"/>
        <v>212.26949147528612</v>
      </c>
    </row>
    <row r="42" spans="17:26" x14ac:dyDescent="0.25">
      <c r="Q42">
        <v>-0.31725999999999999</v>
      </c>
      <c r="R42">
        <v>1.03</v>
      </c>
      <c r="S42" s="1">
        <f t="shared" si="4"/>
        <v>0.32677780000000001</v>
      </c>
      <c r="T42" s="3">
        <f t="shared" si="5"/>
        <v>260.04151081347379</v>
      </c>
      <c r="W42">
        <v>-0.30763000000000001</v>
      </c>
      <c r="X42">
        <v>0.88766999999999996</v>
      </c>
      <c r="Y42" s="1">
        <f t="shared" si="6"/>
        <v>0.27307392209999998</v>
      </c>
      <c r="Z42" s="3">
        <f t="shared" si="7"/>
        <v>217.3053226585308</v>
      </c>
    </row>
    <row r="43" spans="17:26" x14ac:dyDescent="0.25">
      <c r="Q43">
        <v>-0.32774999999999999</v>
      </c>
      <c r="R43">
        <v>1.01949</v>
      </c>
      <c r="S43" s="1">
        <f t="shared" si="4"/>
        <v>0.33413784749999997</v>
      </c>
      <c r="T43" s="3">
        <f t="shared" si="5"/>
        <v>265.89845051855451</v>
      </c>
      <c r="W43">
        <v>-0.31798999999999999</v>
      </c>
      <c r="X43">
        <v>0.87692999999999999</v>
      </c>
      <c r="Y43" s="1">
        <f t="shared" si="6"/>
        <v>0.27885497069999998</v>
      </c>
      <c r="Z43" s="3">
        <f t="shared" si="7"/>
        <v>221.9057349632532</v>
      </c>
    </row>
    <row r="44" spans="17:26" x14ac:dyDescent="0.25">
      <c r="Q44">
        <v>-0.33804000000000001</v>
      </c>
      <c r="R44">
        <v>1.00857</v>
      </c>
      <c r="S44" s="1">
        <f t="shared" si="4"/>
        <v>0.3409370028</v>
      </c>
      <c r="T44" s="3">
        <f t="shared" si="5"/>
        <v>271.30904639277679</v>
      </c>
      <c r="W44">
        <v>-0.32866000000000001</v>
      </c>
      <c r="X44">
        <v>0.86524000000000001</v>
      </c>
      <c r="Y44" s="1">
        <f t="shared" si="6"/>
        <v>0.2843697784</v>
      </c>
      <c r="Z44" s="3">
        <f t="shared" si="7"/>
        <v>226.29427949153444</v>
      </c>
    </row>
    <row r="45" spans="17:26" x14ac:dyDescent="0.25">
      <c r="Q45">
        <v>-0.34823999999999999</v>
      </c>
      <c r="R45">
        <v>0.99746000000000001</v>
      </c>
      <c r="S45" s="1">
        <f t="shared" si="4"/>
        <v>0.34735547039999998</v>
      </c>
      <c r="T45" s="3">
        <f t="shared" si="5"/>
        <v>276.41670062085268</v>
      </c>
      <c r="W45">
        <v>-0.33898</v>
      </c>
      <c r="X45">
        <v>0.85438000000000003</v>
      </c>
      <c r="Y45" s="1">
        <f t="shared" si="6"/>
        <v>0.28961773239999999</v>
      </c>
      <c r="Z45" s="3">
        <f t="shared" si="7"/>
        <v>230.47046859262886</v>
      </c>
    </row>
    <row r="46" spans="17:26" x14ac:dyDescent="0.25">
      <c r="Q46">
        <v>-0.35864000000000001</v>
      </c>
      <c r="R46">
        <v>0.98677000000000004</v>
      </c>
      <c r="S46" s="1">
        <f t="shared" si="4"/>
        <v>0.35389519280000004</v>
      </c>
      <c r="T46" s="3">
        <f t="shared" si="5"/>
        <v>281.62084635289671</v>
      </c>
      <c r="W46">
        <v>-0.34810999999999998</v>
      </c>
      <c r="X46">
        <v>0.84411999999999998</v>
      </c>
      <c r="Y46" s="1">
        <f t="shared" si="6"/>
        <v>0.2938466132</v>
      </c>
      <c r="Z46" s="3">
        <f t="shared" si="7"/>
        <v>233.83570500796091</v>
      </c>
    </row>
    <row r="47" spans="17:26" x14ac:dyDescent="0.25">
      <c r="Q47">
        <v>-0.36786000000000002</v>
      </c>
      <c r="R47">
        <v>0.97675000000000001</v>
      </c>
      <c r="S47" s="1">
        <f t="shared" si="4"/>
        <v>0.35930725500000005</v>
      </c>
      <c r="T47" s="3">
        <f t="shared" si="5"/>
        <v>285.92762861015069</v>
      </c>
      <c r="W47">
        <v>-0.35781000000000002</v>
      </c>
      <c r="X47">
        <v>0.83350999999999997</v>
      </c>
      <c r="Y47" s="1">
        <f t="shared" si="6"/>
        <v>0.29823821309999998</v>
      </c>
      <c r="Z47" s="3">
        <f t="shared" si="7"/>
        <v>237.33042916879526</v>
      </c>
    </row>
    <row r="48" spans="17:26" x14ac:dyDescent="0.25">
      <c r="Q48">
        <v>-0.37845000000000001</v>
      </c>
      <c r="R48">
        <v>0.96647000000000005</v>
      </c>
      <c r="S48" s="1">
        <f t="shared" si="4"/>
        <v>0.36576057150000002</v>
      </c>
      <c r="T48" s="3">
        <f t="shared" si="5"/>
        <v>291.06301471170809</v>
      </c>
      <c r="W48">
        <v>-0.36714999999999998</v>
      </c>
      <c r="X48">
        <v>0.82369000000000003</v>
      </c>
      <c r="Y48" s="1">
        <f t="shared" si="6"/>
        <v>0.30241778349999998</v>
      </c>
      <c r="Z48" s="3">
        <f t="shared" si="7"/>
        <v>240.65642561459811</v>
      </c>
    </row>
    <row r="49" spans="17:26" x14ac:dyDescent="0.25">
      <c r="Q49">
        <v>-0.38967000000000002</v>
      </c>
      <c r="R49">
        <v>0.95442000000000005</v>
      </c>
      <c r="S49" s="1">
        <f t="shared" si="4"/>
        <v>0.37190884140000002</v>
      </c>
      <c r="T49" s="3">
        <f t="shared" si="5"/>
        <v>295.9556524419487</v>
      </c>
      <c r="W49">
        <v>-0.37709999999999999</v>
      </c>
      <c r="X49">
        <v>0.81206</v>
      </c>
      <c r="Y49" s="1">
        <f t="shared" si="6"/>
        <v>0.30622782599999998</v>
      </c>
      <c r="Z49" s="3">
        <f t="shared" si="7"/>
        <v>243.68836110092414</v>
      </c>
    </row>
    <row r="50" spans="17:26" x14ac:dyDescent="0.25">
      <c r="Q50">
        <v>-0.39992</v>
      </c>
      <c r="R50">
        <v>0.94343999999999995</v>
      </c>
      <c r="S50" s="1">
        <f t="shared" si="4"/>
        <v>0.37730052479999998</v>
      </c>
      <c r="T50" s="3">
        <f t="shared" si="5"/>
        <v>300.2462177654312</v>
      </c>
      <c r="W50">
        <v>-0.38727</v>
      </c>
      <c r="X50">
        <v>0.80088999999999999</v>
      </c>
      <c r="Y50" s="1">
        <f t="shared" si="6"/>
        <v>0.3101606703</v>
      </c>
      <c r="Z50" s="3">
        <f t="shared" si="7"/>
        <v>246.81801915470308</v>
      </c>
    </row>
    <row r="51" spans="17:26" x14ac:dyDescent="0.25">
      <c r="Q51">
        <v>-0.41036</v>
      </c>
      <c r="R51">
        <v>0.93284</v>
      </c>
      <c r="S51" s="1">
        <f t="shared" si="4"/>
        <v>0.3828002224</v>
      </c>
      <c r="T51" s="3">
        <f t="shared" si="5"/>
        <v>304.62273805818438</v>
      </c>
      <c r="W51">
        <v>-0.39645999999999998</v>
      </c>
      <c r="X51">
        <v>0.79073000000000004</v>
      </c>
      <c r="Y51" s="1">
        <f t="shared" si="6"/>
        <v>0.31349281579999999</v>
      </c>
      <c r="Z51" s="3">
        <f t="shared" si="7"/>
        <v>249.46965629183515</v>
      </c>
    </row>
    <row r="52" spans="17:26" x14ac:dyDescent="0.25">
      <c r="Q52">
        <v>-0.42104000000000003</v>
      </c>
      <c r="R52">
        <v>0.92122000000000004</v>
      </c>
      <c r="S52" s="1">
        <f t="shared" si="4"/>
        <v>0.38787046880000003</v>
      </c>
      <c r="T52" s="3">
        <f t="shared" si="5"/>
        <v>308.65751194445386</v>
      </c>
      <c r="W52">
        <v>-0.40716000000000002</v>
      </c>
      <c r="X52">
        <v>0.77915999999999996</v>
      </c>
      <c r="Y52" s="1">
        <f t="shared" si="6"/>
        <v>0.31724278560000002</v>
      </c>
      <c r="Z52" s="3">
        <f t="shared" si="7"/>
        <v>252.45378744241179</v>
      </c>
    </row>
    <row r="53" spans="17:26" x14ac:dyDescent="0.25">
      <c r="Q53">
        <v>-0.43165999999999999</v>
      </c>
      <c r="R53">
        <v>0.91095000000000004</v>
      </c>
      <c r="S53" s="1">
        <f t="shared" si="4"/>
        <v>0.39322067700000002</v>
      </c>
      <c r="T53" s="3">
        <f t="shared" si="5"/>
        <v>312.9150723524578</v>
      </c>
      <c r="W53">
        <v>-0.41742000000000001</v>
      </c>
      <c r="X53">
        <v>0.76819000000000004</v>
      </c>
      <c r="Y53" s="1">
        <f t="shared" si="6"/>
        <v>0.32065786980000005</v>
      </c>
      <c r="Z53" s="3">
        <f t="shared" si="7"/>
        <v>255.17142509993698</v>
      </c>
    </row>
    <row r="54" spans="17:26" x14ac:dyDescent="0.25">
      <c r="Q54">
        <v>-0.44218000000000002</v>
      </c>
      <c r="R54">
        <v>0.89900999999999998</v>
      </c>
      <c r="S54" s="1">
        <f t="shared" si="4"/>
        <v>0.39752424180000001</v>
      </c>
      <c r="T54" s="3">
        <f t="shared" si="5"/>
        <v>316.33974040663924</v>
      </c>
      <c r="W54">
        <v>-0.4274</v>
      </c>
      <c r="X54">
        <v>0.75661999999999996</v>
      </c>
      <c r="Y54" s="1">
        <f t="shared" si="6"/>
        <v>0.32337938799999999</v>
      </c>
      <c r="Z54" s="3">
        <f t="shared" si="7"/>
        <v>257.33714047115973</v>
      </c>
    </row>
    <row r="55" spans="17:26" x14ac:dyDescent="0.25">
      <c r="Q55">
        <v>-0.45372000000000001</v>
      </c>
      <c r="R55">
        <v>0.88761999999999996</v>
      </c>
      <c r="S55" s="1">
        <f t="shared" si="4"/>
        <v>0.40273094640000001</v>
      </c>
      <c r="T55" s="3">
        <f t="shared" si="5"/>
        <v>320.48310427818581</v>
      </c>
      <c r="W55">
        <v>-0.43886999999999998</v>
      </c>
      <c r="X55">
        <v>0.74509999999999998</v>
      </c>
      <c r="Y55" s="1">
        <f t="shared" si="6"/>
        <v>0.32700203699999997</v>
      </c>
      <c r="Z55" s="3">
        <f t="shared" si="7"/>
        <v>260.21995294834426</v>
      </c>
    </row>
    <row r="56" spans="17:26" x14ac:dyDescent="0.25">
      <c r="Q56">
        <v>-0.46378999999999998</v>
      </c>
      <c r="R56">
        <v>0.87626999999999999</v>
      </c>
      <c r="S56" s="1">
        <f t="shared" si="4"/>
        <v>0.40640526329999999</v>
      </c>
      <c r="T56" s="3">
        <f t="shared" si="5"/>
        <v>323.40703276379122</v>
      </c>
      <c r="W56">
        <v>-0.44862000000000002</v>
      </c>
      <c r="X56">
        <v>0.73458999999999997</v>
      </c>
      <c r="Y56" s="1">
        <f t="shared" si="6"/>
        <v>0.32955176580000001</v>
      </c>
      <c r="Z56" s="3">
        <f t="shared" si="7"/>
        <v>262.24896265866312</v>
      </c>
    </row>
    <row r="57" spans="17:26" x14ac:dyDescent="0.25">
      <c r="Q57">
        <v>-0.47421000000000002</v>
      </c>
      <c r="R57">
        <v>0.86561999999999995</v>
      </c>
      <c r="S57" s="1">
        <f t="shared" si="4"/>
        <v>0.41048566019999999</v>
      </c>
      <c r="T57" s="3">
        <f t="shared" si="5"/>
        <v>326.65410944585045</v>
      </c>
      <c r="W57">
        <v>-0.45826</v>
      </c>
      <c r="X57">
        <v>0.72387000000000001</v>
      </c>
      <c r="Y57" s="1">
        <f t="shared" si="6"/>
        <v>0.33172066620000001</v>
      </c>
      <c r="Z57" s="3">
        <f t="shared" si="7"/>
        <v>263.97491875733306</v>
      </c>
    </row>
    <row r="58" spans="17:26" x14ac:dyDescent="0.25">
      <c r="Q58">
        <v>-0.48431000000000002</v>
      </c>
      <c r="R58">
        <v>0.85582000000000003</v>
      </c>
      <c r="S58" s="1">
        <f t="shared" si="4"/>
        <v>0.41448218420000005</v>
      </c>
      <c r="T58" s="3">
        <f t="shared" si="5"/>
        <v>329.83444219477747</v>
      </c>
      <c r="W58">
        <v>-0.46945999999999999</v>
      </c>
      <c r="X58">
        <v>0.71179999999999999</v>
      </c>
      <c r="Y58" s="1">
        <f t="shared" si="6"/>
        <v>0.33416162799999999</v>
      </c>
      <c r="Z58" s="3">
        <f t="shared" si="7"/>
        <v>265.91737443917549</v>
      </c>
    </row>
    <row r="59" spans="17:26" x14ac:dyDescent="0.25">
      <c r="Q59">
        <v>-0.49423</v>
      </c>
      <c r="R59">
        <v>0.84567000000000003</v>
      </c>
      <c r="S59" s="1">
        <f t="shared" si="4"/>
        <v>0.4179554841</v>
      </c>
      <c r="T59" s="3">
        <f t="shared" si="5"/>
        <v>332.59840643440532</v>
      </c>
      <c r="W59">
        <v>-0.48025000000000001</v>
      </c>
      <c r="X59">
        <v>0.70043</v>
      </c>
      <c r="Y59" s="1">
        <f t="shared" si="6"/>
        <v>0.33638150750000001</v>
      </c>
      <c r="Z59" s="3">
        <f t="shared" si="7"/>
        <v>267.68389841664236</v>
      </c>
    </row>
    <row r="60" spans="17:26" x14ac:dyDescent="0.25">
      <c r="Q60">
        <v>-0.50510999999999995</v>
      </c>
      <c r="R60">
        <v>0.83296000000000003</v>
      </c>
      <c r="S60" s="1">
        <f t="shared" si="4"/>
        <v>0.42073642559999996</v>
      </c>
      <c r="T60" s="3">
        <f t="shared" si="5"/>
        <v>334.81140936527726</v>
      </c>
      <c r="W60">
        <v>-0.49032999999999999</v>
      </c>
      <c r="X60">
        <v>0.68908000000000003</v>
      </c>
      <c r="Y60" s="1">
        <f t="shared" si="6"/>
        <v>0.33787659640000001</v>
      </c>
      <c r="Z60" s="3">
        <f t="shared" si="7"/>
        <v>268.87365236062647</v>
      </c>
    </row>
    <row r="61" spans="17:26" x14ac:dyDescent="0.25">
      <c r="Q61">
        <v>-0.51607000000000003</v>
      </c>
      <c r="R61">
        <v>0.82191999999999998</v>
      </c>
      <c r="S61" s="1">
        <f t="shared" si="4"/>
        <v>0.4241682544</v>
      </c>
      <c r="T61" s="3">
        <f t="shared" si="5"/>
        <v>337.54237195210294</v>
      </c>
      <c r="W61">
        <v>-0.50066999999999995</v>
      </c>
      <c r="X61">
        <v>0.67671999999999999</v>
      </c>
      <c r="Y61" s="1">
        <f t="shared" si="6"/>
        <v>0.33881340239999996</v>
      </c>
      <c r="Z61" s="3">
        <f t="shared" si="7"/>
        <v>269.61913888871715</v>
      </c>
    </row>
    <row r="62" spans="17:26" x14ac:dyDescent="0.25">
      <c r="Q62">
        <v>-0.52637999999999996</v>
      </c>
      <c r="R62">
        <v>0.81111</v>
      </c>
      <c r="S62" s="1">
        <f t="shared" si="4"/>
        <v>0.42695208179999994</v>
      </c>
      <c r="T62" s="3">
        <f t="shared" si="5"/>
        <v>339.75767140922619</v>
      </c>
      <c r="W62">
        <v>-0.51136999999999999</v>
      </c>
      <c r="X62">
        <v>0.66510000000000002</v>
      </c>
      <c r="Y62" s="1">
        <f t="shared" si="6"/>
        <v>0.34011218700000001</v>
      </c>
      <c r="Z62" s="3">
        <f t="shared" si="7"/>
        <v>270.65267883422536</v>
      </c>
    </row>
    <row r="63" spans="17:26" x14ac:dyDescent="0.25">
      <c r="Q63">
        <v>-0.53791</v>
      </c>
      <c r="R63">
        <v>0.79974999999999996</v>
      </c>
      <c r="S63" s="1">
        <f t="shared" si="4"/>
        <v>0.43019352249999998</v>
      </c>
      <c r="T63" s="3">
        <f t="shared" si="5"/>
        <v>342.33712795994745</v>
      </c>
      <c r="W63">
        <v>-0.52198</v>
      </c>
      <c r="X63">
        <v>0.65332000000000001</v>
      </c>
      <c r="Y63" s="1">
        <f t="shared" si="6"/>
        <v>0.34101997360000003</v>
      </c>
      <c r="Z63" s="3">
        <f t="shared" si="7"/>
        <v>271.37507245753829</v>
      </c>
    </row>
    <row r="64" spans="17:26" x14ac:dyDescent="0.25">
      <c r="Q64">
        <v>-0.54793999999999998</v>
      </c>
      <c r="R64">
        <v>0.78881999999999997</v>
      </c>
      <c r="S64" s="1">
        <f t="shared" si="4"/>
        <v>0.43222603079999999</v>
      </c>
      <c r="T64" s="3">
        <f t="shared" si="5"/>
        <v>343.95454667404903</v>
      </c>
      <c r="W64">
        <v>-0.53264</v>
      </c>
      <c r="X64">
        <v>0.64165000000000005</v>
      </c>
      <c r="Y64" s="1">
        <f t="shared" si="6"/>
        <v>0.34176845600000005</v>
      </c>
      <c r="Z64" s="3">
        <f t="shared" si="7"/>
        <v>271.97069582642473</v>
      </c>
    </row>
    <row r="65" spans="17:26" x14ac:dyDescent="0.25">
      <c r="Q65">
        <v>-0.55788000000000004</v>
      </c>
      <c r="R65">
        <v>0.77876000000000001</v>
      </c>
      <c r="S65" s="1">
        <f t="shared" si="4"/>
        <v>0.43445462880000002</v>
      </c>
      <c r="T65" s="3">
        <f t="shared" si="5"/>
        <v>345.72800861337259</v>
      </c>
      <c r="W65">
        <v>-0.54124000000000005</v>
      </c>
      <c r="X65">
        <v>0.63244999999999996</v>
      </c>
      <c r="Y65" s="1">
        <f t="shared" si="6"/>
        <v>0.34230723800000001</v>
      </c>
      <c r="Z65" s="3">
        <f t="shared" si="7"/>
        <v>272.39944491916941</v>
      </c>
    </row>
    <row r="66" spans="17:26" x14ac:dyDescent="0.25">
      <c r="Q66">
        <v>-0.56943999999999995</v>
      </c>
      <c r="R66">
        <v>0.76683999999999997</v>
      </c>
      <c r="S66" s="1">
        <f t="shared" si="4"/>
        <v>0.43666936959999991</v>
      </c>
      <c r="T66" s="3">
        <f t="shared" si="5"/>
        <v>347.49044334330898</v>
      </c>
      <c r="W66">
        <v>-0.55023999999999995</v>
      </c>
      <c r="X66">
        <v>0.62250000000000005</v>
      </c>
      <c r="Y66" s="1">
        <f t="shared" si="6"/>
        <v>0.34252440000000001</v>
      </c>
      <c r="Z66" s="3">
        <f t="shared" si="7"/>
        <v>272.572256947928</v>
      </c>
    </row>
    <row r="67" spans="17:26" x14ac:dyDescent="0.25">
      <c r="Q67">
        <v>-0.58009999999999995</v>
      </c>
      <c r="R67">
        <v>0.75509000000000004</v>
      </c>
      <c r="S67" s="1">
        <f t="shared" si="4"/>
        <v>0.43802770899999999</v>
      </c>
      <c r="T67" s="3">
        <f t="shared" si="5"/>
        <v>348.57137549284147</v>
      </c>
      <c r="W67">
        <v>-0.56091000000000002</v>
      </c>
      <c r="X67">
        <v>0.61026999999999998</v>
      </c>
      <c r="Y67" s="1">
        <f t="shared" si="6"/>
        <v>0.34230654570000002</v>
      </c>
      <c r="Z67" s="3">
        <f t="shared" si="7"/>
        <v>272.3988940043339</v>
      </c>
    </row>
    <row r="68" spans="17:26" x14ac:dyDescent="0.25">
      <c r="Q68">
        <v>-0.59021999999999997</v>
      </c>
      <c r="R68">
        <v>0.74387999999999999</v>
      </c>
      <c r="S68" s="1">
        <f t="shared" si="4"/>
        <v>0.43905285359999996</v>
      </c>
      <c r="T68" s="3">
        <f t="shared" si="5"/>
        <v>349.38715964521123</v>
      </c>
      <c r="W68">
        <v>-0.57140000000000002</v>
      </c>
      <c r="X68">
        <v>0.59904999999999997</v>
      </c>
      <c r="Y68" s="1">
        <f t="shared" si="6"/>
        <v>0.34229716999999998</v>
      </c>
      <c r="Z68" s="3">
        <f t="shared" si="7"/>
        <v>272.39143305933413</v>
      </c>
    </row>
    <row r="69" spans="17:26" x14ac:dyDescent="0.25">
      <c r="Q69">
        <v>-0.60150000000000003</v>
      </c>
      <c r="R69">
        <v>0.73351</v>
      </c>
      <c r="S69" s="1">
        <f t="shared" si="4"/>
        <v>0.44120626500000004</v>
      </c>
      <c r="T69" s="3">
        <f t="shared" si="5"/>
        <v>351.10078998931351</v>
      </c>
      <c r="W69">
        <v>-0.58316000000000001</v>
      </c>
      <c r="X69">
        <v>0.58638000000000001</v>
      </c>
      <c r="Y69" s="1">
        <f t="shared" si="6"/>
        <v>0.34195336079999999</v>
      </c>
      <c r="Z69" s="3">
        <f t="shared" si="7"/>
        <v>272.1178383910318</v>
      </c>
    </row>
    <row r="70" spans="17:26" x14ac:dyDescent="0.25">
      <c r="Q70">
        <v>-0.61155999999999999</v>
      </c>
      <c r="R70">
        <v>0.72219</v>
      </c>
      <c r="S70" s="1">
        <f t="shared" si="4"/>
        <v>0.44166251639999998</v>
      </c>
      <c r="T70" s="3">
        <f t="shared" si="5"/>
        <v>351.46386331732646</v>
      </c>
      <c r="W70">
        <v>-0.59455999999999998</v>
      </c>
      <c r="X70">
        <v>0.57315000000000005</v>
      </c>
      <c r="Y70" s="1">
        <f t="shared" si="6"/>
        <v>0.34077206400000004</v>
      </c>
      <c r="Z70" s="3">
        <f t="shared" si="7"/>
        <v>271.17779226613862</v>
      </c>
    </row>
    <row r="71" spans="17:26" x14ac:dyDescent="0.25">
      <c r="Q71">
        <v>-0.62182000000000004</v>
      </c>
      <c r="R71">
        <v>0.71125000000000005</v>
      </c>
      <c r="S71" s="1">
        <f t="shared" si="4"/>
        <v>0.44226947500000008</v>
      </c>
      <c r="T71" s="3">
        <f t="shared" si="5"/>
        <v>351.94686562453722</v>
      </c>
      <c r="W71">
        <v>-0.60492999999999997</v>
      </c>
      <c r="X71">
        <v>0.56245000000000001</v>
      </c>
      <c r="Y71" s="1">
        <f t="shared" si="6"/>
        <v>0.34024287850000001</v>
      </c>
      <c r="Z71" s="3">
        <f t="shared" si="7"/>
        <v>270.75667982545082</v>
      </c>
    </row>
    <row r="72" spans="17:26" x14ac:dyDescent="0.25">
      <c r="Q72">
        <v>-0.63244</v>
      </c>
      <c r="R72">
        <v>0.69954000000000005</v>
      </c>
      <c r="S72" s="1">
        <f t="shared" si="4"/>
        <v>0.44241707760000004</v>
      </c>
      <c r="T72" s="3">
        <f t="shared" si="5"/>
        <v>352.06432404155328</v>
      </c>
      <c r="W72">
        <v>-0.62411000000000005</v>
      </c>
      <c r="X72">
        <v>0.54086999999999996</v>
      </c>
      <c r="Y72" s="1">
        <f t="shared" si="6"/>
        <v>0.33756237570000003</v>
      </c>
      <c r="Z72" s="3">
        <f t="shared" si="7"/>
        <v>268.6236034724925</v>
      </c>
    </row>
    <row r="73" spans="17:26" x14ac:dyDescent="0.25">
      <c r="Q73">
        <v>-0.64205999999999996</v>
      </c>
      <c r="R73">
        <v>0.69030999999999998</v>
      </c>
      <c r="S73" s="1">
        <f t="shared" si="4"/>
        <v>0.44322043859999999</v>
      </c>
      <c r="T73" s="3">
        <f t="shared" si="5"/>
        <v>352.70361841273944</v>
      </c>
      <c r="W73">
        <v>-0.63083</v>
      </c>
      <c r="X73">
        <v>0.53332999999999997</v>
      </c>
      <c r="Y73" s="1">
        <f t="shared" si="6"/>
        <v>0.33644056389999999</v>
      </c>
      <c r="Z73" s="3">
        <f t="shared" si="7"/>
        <v>267.7308940065484</v>
      </c>
    </row>
    <row r="74" spans="17:26" x14ac:dyDescent="0.25">
      <c r="Q74">
        <v>-0.65161999999999998</v>
      </c>
      <c r="R74">
        <v>0.68095000000000006</v>
      </c>
      <c r="S74" s="1">
        <f t="shared" si="4"/>
        <v>0.44372063900000003</v>
      </c>
      <c r="T74" s="3">
        <f t="shared" si="5"/>
        <v>353.10166524372221</v>
      </c>
      <c r="W74">
        <v>-0.64114000000000004</v>
      </c>
      <c r="X74">
        <v>0.52249999999999996</v>
      </c>
      <c r="Y74" s="1">
        <f t="shared" si="6"/>
        <v>0.33499564999999998</v>
      </c>
      <c r="Z74" s="3">
        <f t="shared" si="7"/>
        <v>266.58106805891242</v>
      </c>
    </row>
    <row r="75" spans="17:26" x14ac:dyDescent="0.25">
      <c r="Q75">
        <v>-0.66164999999999996</v>
      </c>
      <c r="R75">
        <v>0.66949000000000003</v>
      </c>
      <c r="S75" s="1">
        <f t="shared" si="4"/>
        <v>0.44296805849999998</v>
      </c>
      <c r="T75" s="3">
        <f t="shared" si="5"/>
        <v>352.50278071047433</v>
      </c>
      <c r="W75">
        <v>-0.65054999999999996</v>
      </c>
      <c r="X75">
        <v>0.51129999999999998</v>
      </c>
      <c r="Y75" s="1">
        <f t="shared" si="6"/>
        <v>0.33262621499999995</v>
      </c>
      <c r="Z75" s="3">
        <f t="shared" si="7"/>
        <v>264.69553159598769</v>
      </c>
    </row>
    <row r="76" spans="17:26" x14ac:dyDescent="0.25">
      <c r="Q76">
        <v>-0.67215000000000003</v>
      </c>
      <c r="R76">
        <v>0.65902000000000005</v>
      </c>
      <c r="S76" s="1">
        <f t="shared" si="4"/>
        <v>0.44296029300000006</v>
      </c>
      <c r="T76" s="3">
        <f t="shared" si="5"/>
        <v>352.49660112192146</v>
      </c>
      <c r="W76">
        <v>-0.66139999999999999</v>
      </c>
      <c r="X76">
        <v>0.5</v>
      </c>
      <c r="Y76" s="1">
        <f t="shared" si="6"/>
        <v>0.33069999999999999</v>
      </c>
      <c r="Z76" s="3">
        <f t="shared" si="7"/>
        <v>263.16269840244894</v>
      </c>
    </row>
    <row r="77" spans="17:26" x14ac:dyDescent="0.25">
      <c r="Q77">
        <v>-0.68325000000000002</v>
      </c>
      <c r="R77">
        <v>0.64676</v>
      </c>
      <c r="S77" s="1">
        <f t="shared" ref="S77:S133" si="14">ABS(R77*Q77)</f>
        <v>0.44189877</v>
      </c>
      <c r="T77" s="3">
        <f t="shared" ref="T77:T133" si="15">S77/(4*PI()*0.0001)</f>
        <v>351.65186795864275</v>
      </c>
      <c r="W77">
        <v>-0.67054999999999998</v>
      </c>
      <c r="X77">
        <v>0.48975000000000002</v>
      </c>
      <c r="Y77" s="1">
        <f t="shared" ref="Y77:Y119" si="16">ABS(X77*W77)</f>
        <v>0.32840186249999997</v>
      </c>
      <c r="Z77" s="3">
        <f t="shared" ref="Z77:Z119" si="17">Y77/(4*PI()*0.0001)</f>
        <v>261.33389868729967</v>
      </c>
    </row>
    <row r="78" spans="17:26" x14ac:dyDescent="0.25">
      <c r="Q78">
        <v>-0.69454000000000005</v>
      </c>
      <c r="R78">
        <v>0.63285000000000002</v>
      </c>
      <c r="S78" s="1">
        <f t="shared" si="14"/>
        <v>0.43953963900000004</v>
      </c>
      <c r="T78" s="3">
        <f t="shared" si="15"/>
        <v>349.77453115838614</v>
      </c>
      <c r="W78">
        <v>-0.68011999999999995</v>
      </c>
      <c r="X78">
        <v>0.47886000000000001</v>
      </c>
      <c r="Y78" s="1">
        <f t="shared" si="16"/>
        <v>0.32568226319999999</v>
      </c>
      <c r="Z78" s="3">
        <f t="shared" si="17"/>
        <v>259.16971032817838</v>
      </c>
    </row>
    <row r="79" spans="17:26" x14ac:dyDescent="0.25">
      <c r="Q79">
        <v>-0.70772000000000002</v>
      </c>
      <c r="R79">
        <v>0.62078999999999995</v>
      </c>
      <c r="S79" s="1">
        <f t="shared" si="14"/>
        <v>0.43934549879999996</v>
      </c>
      <c r="T79" s="3">
        <f t="shared" si="15"/>
        <v>349.62003929597182</v>
      </c>
      <c r="W79">
        <v>-0.69132000000000005</v>
      </c>
      <c r="X79">
        <v>0.46521000000000001</v>
      </c>
      <c r="Y79" s="1">
        <f t="shared" si="16"/>
        <v>0.32160897720000003</v>
      </c>
      <c r="Z79" s="3">
        <f t="shared" si="17"/>
        <v>255.92829232054336</v>
      </c>
    </row>
    <row r="80" spans="17:26" x14ac:dyDescent="0.25">
      <c r="Q80">
        <v>-0.71948999999999996</v>
      </c>
      <c r="R80">
        <v>0.60887000000000002</v>
      </c>
      <c r="S80" s="1">
        <f t="shared" si="14"/>
        <v>0.4380758763</v>
      </c>
      <c r="T80" s="3">
        <f t="shared" si="15"/>
        <v>348.60970581229344</v>
      </c>
      <c r="W80">
        <v>-0.70357999999999998</v>
      </c>
      <c r="X80">
        <v>0.45211000000000001</v>
      </c>
      <c r="Y80" s="1">
        <f t="shared" si="16"/>
        <v>0.31809555379999999</v>
      </c>
      <c r="Z80" s="3">
        <f t="shared" si="17"/>
        <v>253.13239881411965</v>
      </c>
    </row>
    <row r="81" spans="17:26" x14ac:dyDescent="0.25">
      <c r="Q81">
        <v>-0.73089999999999999</v>
      </c>
      <c r="R81">
        <v>0.59648000000000001</v>
      </c>
      <c r="S81" s="1">
        <f t="shared" si="14"/>
        <v>0.43596723199999998</v>
      </c>
      <c r="T81" s="3">
        <f t="shared" si="15"/>
        <v>346.93169999445564</v>
      </c>
      <c r="W81">
        <v>-0.71516000000000002</v>
      </c>
      <c r="X81">
        <v>0.43911</v>
      </c>
      <c r="Y81" s="1">
        <f t="shared" si="16"/>
        <v>0.3140339076</v>
      </c>
      <c r="Z81" s="3">
        <f t="shared" si="17"/>
        <v>249.90024346501761</v>
      </c>
    </row>
    <row r="82" spans="17:26" x14ac:dyDescent="0.25">
      <c r="Q82">
        <v>-0.74145000000000005</v>
      </c>
      <c r="R82">
        <v>0.58591000000000004</v>
      </c>
      <c r="S82" s="1">
        <f t="shared" si="14"/>
        <v>0.43442296950000009</v>
      </c>
      <c r="T82" s="3">
        <f t="shared" si="15"/>
        <v>345.70281494292351</v>
      </c>
      <c r="W82">
        <v>-0.72589999999999999</v>
      </c>
      <c r="X82">
        <v>0.42754999999999999</v>
      </c>
      <c r="Y82" s="1">
        <f t="shared" si="16"/>
        <v>0.31035854499999999</v>
      </c>
      <c r="Z82" s="3">
        <f t="shared" si="17"/>
        <v>246.97548283779219</v>
      </c>
    </row>
    <row r="83" spans="17:26" x14ac:dyDescent="0.25">
      <c r="Q83">
        <v>-0.75126000000000004</v>
      </c>
      <c r="R83">
        <v>0.57555999999999996</v>
      </c>
      <c r="S83" s="1">
        <f t="shared" si="14"/>
        <v>0.4323952056</v>
      </c>
      <c r="T83" s="3">
        <f t="shared" si="15"/>
        <v>344.08917170238192</v>
      </c>
      <c r="W83">
        <v>-0.73601000000000005</v>
      </c>
      <c r="X83">
        <v>0.41625000000000001</v>
      </c>
      <c r="Y83" s="1">
        <f t="shared" si="16"/>
        <v>0.30636416250000004</v>
      </c>
      <c r="Z83" s="3">
        <f t="shared" si="17"/>
        <v>243.79685424041841</v>
      </c>
    </row>
    <row r="84" spans="17:26" x14ac:dyDescent="0.25">
      <c r="Q84">
        <v>-0.76398999999999995</v>
      </c>
      <c r="R84">
        <v>0.56196999999999997</v>
      </c>
      <c r="S84" s="1">
        <f t="shared" si="14"/>
        <v>0.42933946029999992</v>
      </c>
      <c r="T84" s="3">
        <f t="shared" si="15"/>
        <v>341.65748685575772</v>
      </c>
      <c r="W84">
        <v>-0.74568999999999996</v>
      </c>
      <c r="X84">
        <v>0.40556999999999999</v>
      </c>
      <c r="Y84" s="1">
        <f t="shared" si="16"/>
        <v>0.30242949329999996</v>
      </c>
      <c r="Z84" s="3">
        <f t="shared" si="17"/>
        <v>240.66574397736119</v>
      </c>
    </row>
    <row r="85" spans="17:26" x14ac:dyDescent="0.25">
      <c r="Q85">
        <v>-0.77488999999999997</v>
      </c>
      <c r="R85">
        <v>0.55071000000000003</v>
      </c>
      <c r="S85" s="1">
        <f t="shared" si="14"/>
        <v>0.42673967190000001</v>
      </c>
      <c r="T85" s="3">
        <f t="shared" si="15"/>
        <v>339.58864098149297</v>
      </c>
      <c r="W85">
        <v>-0.75695000000000001</v>
      </c>
      <c r="X85">
        <v>0.39360000000000001</v>
      </c>
      <c r="Y85" s="1">
        <f t="shared" si="16"/>
        <v>0.29793552000000001</v>
      </c>
      <c r="Z85" s="3">
        <f t="shared" si="17"/>
        <v>237.08955365327125</v>
      </c>
    </row>
    <row r="86" spans="17:26" x14ac:dyDescent="0.25">
      <c r="Q86">
        <v>-0.78363000000000005</v>
      </c>
      <c r="R86">
        <v>0.54118999999999995</v>
      </c>
      <c r="S86" s="1">
        <f t="shared" si="14"/>
        <v>0.42409271970000001</v>
      </c>
      <c r="T86" s="3">
        <f t="shared" si="15"/>
        <v>337.48226334770311</v>
      </c>
      <c r="W86">
        <v>-0.76788000000000001</v>
      </c>
      <c r="X86">
        <v>0.38094</v>
      </c>
      <c r="Y86" s="1">
        <f t="shared" si="16"/>
        <v>0.29251620719999999</v>
      </c>
      <c r="Z86" s="3">
        <f t="shared" si="17"/>
        <v>232.77700155186534</v>
      </c>
    </row>
    <row r="87" spans="17:26" x14ac:dyDescent="0.25">
      <c r="Q87">
        <v>-0.79313999999999996</v>
      </c>
      <c r="R87">
        <v>0.53173000000000004</v>
      </c>
      <c r="S87" s="1">
        <f t="shared" si="14"/>
        <v>0.42173633220000001</v>
      </c>
      <c r="T87" s="3">
        <f t="shared" si="15"/>
        <v>335.60710975537836</v>
      </c>
      <c r="W87">
        <v>-0.77785000000000004</v>
      </c>
      <c r="X87">
        <v>0.36935000000000001</v>
      </c>
      <c r="Y87" s="1">
        <f t="shared" si="16"/>
        <v>0.28729889750000004</v>
      </c>
      <c r="Z87" s="3">
        <f t="shared" si="17"/>
        <v>228.62519840988389</v>
      </c>
    </row>
    <row r="88" spans="17:26" x14ac:dyDescent="0.25">
      <c r="Q88">
        <v>-0.80252000000000001</v>
      </c>
      <c r="R88">
        <v>0.52200999999999997</v>
      </c>
      <c r="S88" s="1">
        <f t="shared" si="14"/>
        <v>0.41892346520000001</v>
      </c>
      <c r="T88" s="3">
        <f t="shared" si="15"/>
        <v>333.36870131882802</v>
      </c>
      <c r="W88">
        <v>-0.78861000000000003</v>
      </c>
      <c r="X88">
        <v>0.35803000000000001</v>
      </c>
      <c r="Y88" s="1">
        <f t="shared" si="16"/>
        <v>0.28234603830000005</v>
      </c>
      <c r="Z88" s="3">
        <f t="shared" si="17"/>
        <v>224.68383828929305</v>
      </c>
    </row>
    <row r="89" spans="17:26" x14ac:dyDescent="0.25">
      <c r="Q89">
        <v>-0.81325999999999998</v>
      </c>
      <c r="R89">
        <v>0.51049999999999995</v>
      </c>
      <c r="S89" s="1">
        <f t="shared" si="14"/>
        <v>0.41516922999999994</v>
      </c>
      <c r="T89" s="3">
        <f t="shared" si="15"/>
        <v>330.38117587078</v>
      </c>
      <c r="W89">
        <v>-0.79698000000000002</v>
      </c>
      <c r="X89">
        <v>0.34784999999999999</v>
      </c>
      <c r="Y89" s="1">
        <f t="shared" si="16"/>
        <v>0.27722949299999999</v>
      </c>
      <c r="Z89" s="3">
        <f t="shared" si="17"/>
        <v>220.61222090905</v>
      </c>
    </row>
    <row r="90" spans="17:26" x14ac:dyDescent="0.25">
      <c r="Q90">
        <v>-0.82401999999999997</v>
      </c>
      <c r="R90">
        <v>0.49903999999999998</v>
      </c>
      <c r="S90" s="1">
        <f t="shared" si="14"/>
        <v>0.41121894079999999</v>
      </c>
      <c r="T90" s="3">
        <f t="shared" si="15"/>
        <v>327.23763560666737</v>
      </c>
      <c r="W90">
        <v>-0.80679000000000001</v>
      </c>
      <c r="X90">
        <v>0.33756999999999998</v>
      </c>
      <c r="Y90" s="1">
        <f t="shared" si="16"/>
        <v>0.27234810030000001</v>
      </c>
      <c r="Z90" s="3">
        <f t="shared" si="17"/>
        <v>216.72773202216152</v>
      </c>
    </row>
    <row r="91" spans="17:26" x14ac:dyDescent="0.25">
      <c r="Q91">
        <v>-0.83462000000000003</v>
      </c>
      <c r="R91">
        <v>0.48721999999999999</v>
      </c>
      <c r="S91" s="1">
        <f t="shared" si="14"/>
        <v>0.40664355639999999</v>
      </c>
      <c r="T91" s="3">
        <f t="shared" si="15"/>
        <v>323.59666038763964</v>
      </c>
      <c r="W91">
        <v>-0.82718999999999998</v>
      </c>
      <c r="X91">
        <v>0.31445000000000001</v>
      </c>
      <c r="Y91" s="1">
        <f t="shared" si="16"/>
        <v>0.26010989550000002</v>
      </c>
      <c r="Z91" s="3">
        <f t="shared" si="17"/>
        <v>206.98887807970675</v>
      </c>
    </row>
    <row r="92" spans="17:26" x14ac:dyDescent="0.25">
      <c r="Q92">
        <v>-0.84574000000000005</v>
      </c>
      <c r="R92">
        <v>0.47545999999999999</v>
      </c>
      <c r="S92" s="1">
        <f t="shared" si="14"/>
        <v>0.40211554040000003</v>
      </c>
      <c r="T92" s="3">
        <f t="shared" si="15"/>
        <v>319.99337974364374</v>
      </c>
      <c r="W92">
        <v>-0.83235999999999999</v>
      </c>
      <c r="X92">
        <v>0.30819999999999997</v>
      </c>
      <c r="Y92" s="1">
        <f t="shared" si="16"/>
        <v>0.25653335199999999</v>
      </c>
      <c r="Z92" s="3">
        <f t="shared" si="17"/>
        <v>204.14275519366578</v>
      </c>
    </row>
    <row r="93" spans="17:26" x14ac:dyDescent="0.25">
      <c r="Q93">
        <v>-0.85672000000000004</v>
      </c>
      <c r="R93">
        <v>0.46448</v>
      </c>
      <c r="S93" s="1">
        <f t="shared" si="14"/>
        <v>0.39792930560000001</v>
      </c>
      <c r="T93" s="3">
        <f t="shared" si="15"/>
        <v>316.66207993682718</v>
      </c>
      <c r="W93">
        <v>-0.84125000000000005</v>
      </c>
      <c r="X93">
        <v>0.29741000000000001</v>
      </c>
      <c r="Y93" s="1">
        <f t="shared" si="16"/>
        <v>0.25019616250000004</v>
      </c>
      <c r="Z93" s="3">
        <f t="shared" si="17"/>
        <v>199.09978002249053</v>
      </c>
    </row>
    <row r="94" spans="17:26" x14ac:dyDescent="0.25">
      <c r="Q94">
        <v>-0.86772000000000005</v>
      </c>
      <c r="R94">
        <v>0.45301000000000002</v>
      </c>
      <c r="S94" s="1">
        <f t="shared" si="14"/>
        <v>0.39308583720000007</v>
      </c>
      <c r="T94" s="3">
        <f t="shared" si="15"/>
        <v>312.80777024898026</v>
      </c>
      <c r="W94">
        <v>-0.85206999999999999</v>
      </c>
      <c r="X94">
        <v>0.28615000000000002</v>
      </c>
      <c r="Y94" s="1">
        <f t="shared" si="16"/>
        <v>0.2438198305</v>
      </c>
      <c r="Z94" s="3">
        <f t="shared" si="17"/>
        <v>194.02565623951534</v>
      </c>
    </row>
    <row r="95" spans="17:26" x14ac:dyDescent="0.25">
      <c r="Q95">
        <v>-0.87921000000000005</v>
      </c>
      <c r="R95">
        <v>0.43992999999999999</v>
      </c>
      <c r="S95" s="1">
        <f t="shared" si="14"/>
        <v>0.38679085530000001</v>
      </c>
      <c r="T95" s="3">
        <f t="shared" si="15"/>
        <v>307.79838281868513</v>
      </c>
      <c r="W95">
        <v>-0.86143999999999998</v>
      </c>
      <c r="X95">
        <v>0.27495999999999998</v>
      </c>
      <c r="Y95" s="1">
        <f t="shared" si="16"/>
        <v>0.23686154239999999</v>
      </c>
      <c r="Z95" s="3">
        <f t="shared" si="17"/>
        <v>188.48842650665276</v>
      </c>
    </row>
    <row r="96" spans="17:26" x14ac:dyDescent="0.25">
      <c r="Q96">
        <v>-0.89054999999999995</v>
      </c>
      <c r="R96">
        <v>0.42815999999999999</v>
      </c>
      <c r="S96" s="1">
        <f t="shared" si="14"/>
        <v>0.38129788799999997</v>
      </c>
      <c r="T96" s="3">
        <f t="shared" si="15"/>
        <v>303.42721832849941</v>
      </c>
      <c r="W96">
        <v>-0.87011000000000005</v>
      </c>
      <c r="X96">
        <v>0.26536999999999999</v>
      </c>
      <c r="Y96" s="1">
        <f t="shared" si="16"/>
        <v>0.23090109070000001</v>
      </c>
      <c r="Z96" s="3">
        <f t="shared" si="17"/>
        <v>183.74524975107533</v>
      </c>
    </row>
    <row r="97" spans="17:26" x14ac:dyDescent="0.25">
      <c r="Q97">
        <v>-0.90112999999999999</v>
      </c>
      <c r="R97">
        <v>0.41782999999999998</v>
      </c>
      <c r="S97" s="1">
        <f t="shared" si="14"/>
        <v>0.37651914789999996</v>
      </c>
      <c r="T97" s="3">
        <f t="shared" si="15"/>
        <v>299.62441778516711</v>
      </c>
      <c r="W97">
        <v>-0.89005000000000001</v>
      </c>
      <c r="X97">
        <v>0.24381</v>
      </c>
      <c r="Y97" s="1">
        <f t="shared" si="16"/>
        <v>0.2170030905</v>
      </c>
      <c r="Z97" s="3">
        <f t="shared" si="17"/>
        <v>172.68557259646457</v>
      </c>
    </row>
    <row r="98" spans="17:26" x14ac:dyDescent="0.25">
      <c r="Q98">
        <v>-0.91235999999999995</v>
      </c>
      <c r="R98">
        <v>0.40579999999999999</v>
      </c>
      <c r="S98" s="1">
        <f t="shared" si="14"/>
        <v>0.37023568799999995</v>
      </c>
      <c r="T98" s="3">
        <f t="shared" si="15"/>
        <v>294.62419927114354</v>
      </c>
      <c r="W98">
        <v>-0.89476</v>
      </c>
      <c r="X98">
        <v>0.23821000000000001</v>
      </c>
      <c r="Y98" s="1">
        <f t="shared" si="16"/>
        <v>0.2131407796</v>
      </c>
      <c r="Z98" s="3">
        <f t="shared" si="17"/>
        <v>169.61204323900103</v>
      </c>
    </row>
    <row r="99" spans="17:26" x14ac:dyDescent="0.25">
      <c r="Q99">
        <v>-0.92222000000000004</v>
      </c>
      <c r="R99">
        <v>0.39402999999999999</v>
      </c>
      <c r="S99" s="1">
        <f t="shared" si="14"/>
        <v>0.36338234660000002</v>
      </c>
      <c r="T99" s="3">
        <f t="shared" si="15"/>
        <v>289.17048346861196</v>
      </c>
      <c r="W99">
        <v>-0.90315000000000001</v>
      </c>
      <c r="X99">
        <v>0.22796</v>
      </c>
      <c r="Y99" s="1">
        <f t="shared" si="16"/>
        <v>0.205882074</v>
      </c>
      <c r="Z99" s="3">
        <f t="shared" si="17"/>
        <v>163.83574885555691</v>
      </c>
    </row>
    <row r="100" spans="17:26" x14ac:dyDescent="0.25">
      <c r="Q100">
        <v>-0.93298999999999999</v>
      </c>
      <c r="R100">
        <v>0.38261000000000001</v>
      </c>
      <c r="S100" s="1">
        <f t="shared" si="14"/>
        <v>0.35697130389999998</v>
      </c>
      <c r="T100" s="3">
        <f t="shared" si="15"/>
        <v>284.06873778822086</v>
      </c>
      <c r="W100">
        <v>-0.91422000000000003</v>
      </c>
      <c r="X100">
        <v>0.21559</v>
      </c>
      <c r="Y100" s="1">
        <f t="shared" si="16"/>
        <v>0.1970966898</v>
      </c>
      <c r="Z100" s="3">
        <f t="shared" si="17"/>
        <v>156.84456224359974</v>
      </c>
    </row>
    <row r="101" spans="17:26" x14ac:dyDescent="0.25">
      <c r="Q101">
        <v>-0.94537000000000004</v>
      </c>
      <c r="R101">
        <v>0.36992999999999998</v>
      </c>
      <c r="S101" s="1">
        <f t="shared" si="14"/>
        <v>0.34972072409999999</v>
      </c>
      <c r="T101" s="3">
        <f t="shared" si="15"/>
        <v>278.29890971095966</v>
      </c>
      <c r="W101">
        <v>-0.92561000000000004</v>
      </c>
      <c r="X101">
        <v>0.20233000000000001</v>
      </c>
      <c r="Y101" s="1">
        <f t="shared" si="16"/>
        <v>0.1872786713</v>
      </c>
      <c r="Z101" s="3">
        <f t="shared" si="17"/>
        <v>149.03163136538637</v>
      </c>
    </row>
    <row r="102" spans="17:26" x14ac:dyDescent="0.25">
      <c r="Q102">
        <v>-0.95557999999999998</v>
      </c>
      <c r="R102">
        <v>0.35883999999999999</v>
      </c>
      <c r="S102" s="1">
        <f t="shared" si="14"/>
        <v>0.34290032719999997</v>
      </c>
      <c r="T102" s="3">
        <f t="shared" si="15"/>
        <v>272.87141030854144</v>
      </c>
      <c r="W102">
        <v>-0.93527000000000005</v>
      </c>
      <c r="X102">
        <v>0.19164999999999999</v>
      </c>
      <c r="Y102" s="1">
        <f t="shared" si="16"/>
        <v>0.17924449549999999</v>
      </c>
      <c r="Z102" s="3">
        <f t="shared" si="17"/>
        <v>142.63823740418994</v>
      </c>
    </row>
    <row r="103" spans="17:26" x14ac:dyDescent="0.25">
      <c r="Q103">
        <v>-0.96562000000000003</v>
      </c>
      <c r="R103">
        <v>0.34893000000000002</v>
      </c>
      <c r="S103" s="1">
        <f t="shared" si="14"/>
        <v>0.33693378660000001</v>
      </c>
      <c r="T103" s="3">
        <f t="shared" si="15"/>
        <v>268.12338816029904</v>
      </c>
      <c r="W103">
        <v>-0.94518999999999997</v>
      </c>
      <c r="X103">
        <v>0.18</v>
      </c>
      <c r="Y103" s="1">
        <f t="shared" si="16"/>
        <v>0.17013419999999999</v>
      </c>
      <c r="Z103" s="3">
        <f t="shared" si="17"/>
        <v>135.3884945949257</v>
      </c>
    </row>
    <row r="104" spans="17:26" x14ac:dyDescent="0.25">
      <c r="Q104">
        <v>-0.97719999999999996</v>
      </c>
      <c r="R104">
        <v>0.33609</v>
      </c>
      <c r="S104" s="1">
        <f t="shared" si="14"/>
        <v>0.328427148</v>
      </c>
      <c r="T104" s="3">
        <f t="shared" si="15"/>
        <v>261.35402024886747</v>
      </c>
      <c r="W104">
        <v>-0.95564000000000004</v>
      </c>
      <c r="X104">
        <v>0.16788</v>
      </c>
      <c r="Y104" s="1">
        <f t="shared" si="16"/>
        <v>0.16043284320000001</v>
      </c>
      <c r="Z104" s="3">
        <f t="shared" si="17"/>
        <v>127.66840014783484</v>
      </c>
    </row>
    <row r="105" spans="17:26" x14ac:dyDescent="0.25">
      <c r="Q105">
        <v>-0.98782999999999999</v>
      </c>
      <c r="R105">
        <v>0.32430999999999999</v>
      </c>
      <c r="S105" s="1">
        <f t="shared" si="14"/>
        <v>0.32036314729999998</v>
      </c>
      <c r="T105" s="3">
        <f t="shared" si="15"/>
        <v>254.93689238635992</v>
      </c>
      <c r="W105">
        <v>-0.96543999999999996</v>
      </c>
      <c r="X105">
        <v>0.15747</v>
      </c>
      <c r="Y105" s="1">
        <f t="shared" si="16"/>
        <v>0.15202783679999998</v>
      </c>
      <c r="Z105" s="3">
        <f t="shared" si="17"/>
        <v>120.97990857143975</v>
      </c>
    </row>
    <row r="106" spans="17:26" x14ac:dyDescent="0.25">
      <c r="Q106">
        <v>-0.99824000000000002</v>
      </c>
      <c r="R106">
        <v>0.31390000000000001</v>
      </c>
      <c r="S106" s="1">
        <f t="shared" si="14"/>
        <v>0.31334753600000004</v>
      </c>
      <c r="T106" s="3">
        <f t="shared" si="15"/>
        <v>249.35404630032818</v>
      </c>
      <c r="W106">
        <v>-0.97574000000000005</v>
      </c>
      <c r="X106">
        <v>0.14499000000000001</v>
      </c>
      <c r="Y106" s="1">
        <f t="shared" si="16"/>
        <v>0.14147254260000003</v>
      </c>
      <c r="Z106" s="3">
        <f t="shared" si="17"/>
        <v>112.58027233284372</v>
      </c>
    </row>
    <row r="107" spans="17:26" x14ac:dyDescent="0.25">
      <c r="Q107">
        <v>-1.0104900000000001</v>
      </c>
      <c r="R107">
        <v>0.30074000000000001</v>
      </c>
      <c r="S107" s="1">
        <f t="shared" si="14"/>
        <v>0.30389476260000003</v>
      </c>
      <c r="T107" s="3">
        <f t="shared" si="15"/>
        <v>241.83176823764026</v>
      </c>
      <c r="W107">
        <v>-0.98692999999999997</v>
      </c>
      <c r="X107">
        <v>0.13278999999999999</v>
      </c>
      <c r="Y107" s="1">
        <f t="shared" si="16"/>
        <v>0.1310544347</v>
      </c>
      <c r="Z107" s="3">
        <f t="shared" si="17"/>
        <v>104.28980548309507</v>
      </c>
    </row>
    <row r="108" spans="17:26" x14ac:dyDescent="0.25">
      <c r="Q108">
        <v>-1.02163</v>
      </c>
      <c r="R108">
        <v>0.28803000000000001</v>
      </c>
      <c r="S108" s="1">
        <f t="shared" si="14"/>
        <v>0.29426008889999999</v>
      </c>
      <c r="T108" s="3">
        <f t="shared" si="15"/>
        <v>234.16473851547781</v>
      </c>
      <c r="W108">
        <v>-0.99753000000000003</v>
      </c>
      <c r="X108">
        <v>0.12091</v>
      </c>
      <c r="Y108" s="1">
        <f t="shared" si="16"/>
        <v>0.1206113523</v>
      </c>
      <c r="Z108" s="3">
        <f t="shared" si="17"/>
        <v>95.979464557715204</v>
      </c>
    </row>
    <row r="109" spans="17:26" x14ac:dyDescent="0.25">
      <c r="Q109">
        <v>-1.0317400000000001</v>
      </c>
      <c r="R109">
        <v>0.27676000000000001</v>
      </c>
      <c r="S109" s="1">
        <f t="shared" si="14"/>
        <v>0.28554436240000003</v>
      </c>
      <c r="T109" s="3">
        <f t="shared" si="15"/>
        <v>227.22898373991774</v>
      </c>
      <c r="W109">
        <v>-1.0156400000000001</v>
      </c>
      <c r="X109">
        <v>0.10002999999999999</v>
      </c>
      <c r="Y109" s="1">
        <f t="shared" si="16"/>
        <v>0.10159446920000001</v>
      </c>
      <c r="Z109" s="3">
        <f t="shared" si="17"/>
        <v>80.846309819886585</v>
      </c>
    </row>
    <row r="110" spans="17:26" x14ac:dyDescent="0.25">
      <c r="Q110">
        <v>-1.0435700000000001</v>
      </c>
      <c r="R110">
        <v>0.26477000000000001</v>
      </c>
      <c r="S110" s="1">
        <f t="shared" si="14"/>
        <v>0.27630602890000006</v>
      </c>
      <c r="T110" s="3">
        <f t="shared" si="15"/>
        <v>219.87735152763548</v>
      </c>
      <c r="W110">
        <v>-1.0221199999999999</v>
      </c>
      <c r="X110">
        <v>9.1859999999999997E-2</v>
      </c>
      <c r="Y110" s="1">
        <f t="shared" si="16"/>
        <v>9.3891943199999994E-2</v>
      </c>
      <c r="Z110" s="3">
        <f t="shared" si="17"/>
        <v>74.716834383917345</v>
      </c>
    </row>
    <row r="111" spans="17:26" x14ac:dyDescent="0.25">
      <c r="Q111">
        <v>-1.0553600000000001</v>
      </c>
      <c r="R111">
        <v>0.25247999999999998</v>
      </c>
      <c r="S111" s="1">
        <f t="shared" si="14"/>
        <v>0.26645729280000002</v>
      </c>
      <c r="T111" s="3">
        <f t="shared" si="15"/>
        <v>212.03997636002248</v>
      </c>
      <c r="W111">
        <v>-1.03182</v>
      </c>
      <c r="X111">
        <v>8.1110000000000002E-2</v>
      </c>
      <c r="Y111" s="1">
        <f t="shared" si="16"/>
        <v>8.3690920200000005E-2</v>
      </c>
      <c r="Z111" s="3">
        <f t="shared" si="17"/>
        <v>66.59911820869678</v>
      </c>
    </row>
    <row r="112" spans="17:26" x14ac:dyDescent="0.25">
      <c r="Q112">
        <v>-1.06443</v>
      </c>
      <c r="R112">
        <v>0.24188000000000001</v>
      </c>
      <c r="S112" s="1">
        <f t="shared" si="14"/>
        <v>0.2574643284</v>
      </c>
      <c r="T112" s="3">
        <f t="shared" si="15"/>
        <v>204.88360267347528</v>
      </c>
      <c r="W112">
        <v>-1.04084</v>
      </c>
      <c r="X112">
        <v>7.0569999999999994E-2</v>
      </c>
      <c r="Y112" s="1">
        <f t="shared" si="16"/>
        <v>7.3452078799999987E-2</v>
      </c>
      <c r="Z112" s="3">
        <f t="shared" si="17"/>
        <v>58.451307106977055</v>
      </c>
    </row>
    <row r="113" spans="17:26" x14ac:dyDescent="0.25">
      <c r="Q113">
        <v>-1.0742400000000001</v>
      </c>
      <c r="R113">
        <v>0.23171</v>
      </c>
      <c r="S113" s="1">
        <f t="shared" si="14"/>
        <v>0.24891215040000003</v>
      </c>
      <c r="T113" s="3">
        <f t="shared" si="15"/>
        <v>198.0779956589665</v>
      </c>
      <c r="W113">
        <v>-1.0517700000000001</v>
      </c>
      <c r="X113">
        <v>5.7860000000000002E-2</v>
      </c>
      <c r="Y113" s="1">
        <f t="shared" si="16"/>
        <v>6.0855412200000007E-2</v>
      </c>
      <c r="Z113" s="3">
        <f t="shared" si="17"/>
        <v>48.427198327624176</v>
      </c>
    </row>
    <row r="114" spans="17:26" x14ac:dyDescent="0.25">
      <c r="Q114">
        <v>-1.0850599999999999</v>
      </c>
      <c r="R114">
        <v>0.22045000000000001</v>
      </c>
      <c r="S114" s="1">
        <f t="shared" si="14"/>
        <v>0.239201477</v>
      </c>
      <c r="T114" s="3">
        <f t="shared" si="15"/>
        <v>190.35048729716155</v>
      </c>
      <c r="W114">
        <v>-1.0624499999999999</v>
      </c>
      <c r="X114">
        <v>4.6170000000000003E-2</v>
      </c>
      <c r="Y114" s="1">
        <f t="shared" si="16"/>
        <v>4.9053316499999999E-2</v>
      </c>
      <c r="Z114" s="3">
        <f t="shared" si="17"/>
        <v>39.035388980131152</v>
      </c>
    </row>
    <row r="115" spans="17:26" x14ac:dyDescent="0.25">
      <c r="Q115">
        <v>-1.0952999999999999</v>
      </c>
      <c r="R115">
        <v>0.20910000000000001</v>
      </c>
      <c r="S115" s="1">
        <f t="shared" si="14"/>
        <v>0.22902723</v>
      </c>
      <c r="T115" s="3">
        <f t="shared" si="15"/>
        <v>182.25407878572213</v>
      </c>
      <c r="W115">
        <v>-1.0732999999999999</v>
      </c>
      <c r="X115">
        <v>3.329E-2</v>
      </c>
      <c r="Y115" s="1">
        <f t="shared" si="16"/>
        <v>3.5730156999999999E-2</v>
      </c>
      <c r="Z115" s="3">
        <f t="shared" si="17"/>
        <v>28.433155519997428</v>
      </c>
    </row>
    <row r="116" spans="17:26" x14ac:dyDescent="0.25">
      <c r="Q116">
        <v>-1.1144700000000001</v>
      </c>
      <c r="R116">
        <v>0.18712999999999999</v>
      </c>
      <c r="S116" s="1">
        <f t="shared" si="14"/>
        <v>0.2085507711</v>
      </c>
      <c r="T116" s="3">
        <f t="shared" si="15"/>
        <v>165.95943053095695</v>
      </c>
      <c r="W116">
        <v>-1.0851</v>
      </c>
      <c r="X116">
        <v>1.9290000000000002E-2</v>
      </c>
      <c r="Y116" s="1">
        <f t="shared" si="16"/>
        <v>2.0931579000000002E-2</v>
      </c>
      <c r="Z116" s="3">
        <f t="shared" si="17"/>
        <v>16.656821322842561</v>
      </c>
    </row>
    <row r="117" spans="17:26" x14ac:dyDescent="0.25">
      <c r="Q117">
        <v>-1.1203099999999999</v>
      </c>
      <c r="R117">
        <v>0.18084</v>
      </c>
      <c r="S117" s="1">
        <f t="shared" si="14"/>
        <v>0.2025968604</v>
      </c>
      <c r="T117" s="3">
        <f t="shared" si="15"/>
        <v>161.22145893779333</v>
      </c>
      <c r="W117">
        <v>-1.0966899999999999</v>
      </c>
      <c r="X117">
        <v>6.45E-3</v>
      </c>
      <c r="Y117" s="1">
        <f t="shared" si="16"/>
        <v>7.0736504999999996E-3</v>
      </c>
      <c r="Z117" s="3">
        <f t="shared" si="17"/>
        <v>5.6290322138972853</v>
      </c>
    </row>
    <row r="118" spans="17:26" x14ac:dyDescent="0.25">
      <c r="Q118">
        <v>-1.13019</v>
      </c>
      <c r="R118">
        <v>0.1691</v>
      </c>
      <c r="S118" s="1">
        <f t="shared" si="14"/>
        <v>0.19111512899999999</v>
      </c>
      <c r="T118" s="3">
        <f t="shared" si="15"/>
        <v>152.08458739997619</v>
      </c>
      <c r="W118">
        <v>-1.1065199999999999</v>
      </c>
      <c r="X118">
        <v>-5.45E-3</v>
      </c>
      <c r="Y118" s="1">
        <f t="shared" si="16"/>
        <v>6.0305339999999997E-3</v>
      </c>
      <c r="Z118" s="3">
        <f t="shared" si="17"/>
        <v>4.7989464779187001</v>
      </c>
    </row>
    <row r="119" spans="17:26" x14ac:dyDescent="0.25">
      <c r="Q119">
        <v>-1.1409400000000001</v>
      </c>
      <c r="R119">
        <v>0.15755</v>
      </c>
      <c r="S119" s="1">
        <f t="shared" si="14"/>
        <v>0.179755097</v>
      </c>
      <c r="T119" s="3">
        <f t="shared" si="15"/>
        <v>143.04456116756563</v>
      </c>
      <c r="W119">
        <v>-1.1166199999999999</v>
      </c>
      <c r="X119">
        <v>-1.6809999999999999E-2</v>
      </c>
      <c r="Y119" s="1">
        <f t="shared" si="16"/>
        <v>1.8770382199999998E-2</v>
      </c>
      <c r="Z119" s="3">
        <f t="shared" si="17"/>
        <v>14.936995554270625</v>
      </c>
    </row>
    <row r="120" spans="17:26" x14ac:dyDescent="0.25">
      <c r="Q120">
        <v>-1.1522300000000001</v>
      </c>
      <c r="R120">
        <v>0.14566000000000001</v>
      </c>
      <c r="S120" s="1">
        <f t="shared" si="14"/>
        <v>0.16783382180000003</v>
      </c>
      <c r="T120" s="3">
        <f t="shared" si="15"/>
        <v>133.55791178737155</v>
      </c>
      <c r="Z120" s="14">
        <f>MAX(Z12:Z119)</f>
        <v>272.572256947928</v>
      </c>
    </row>
    <row r="121" spans="17:26" x14ac:dyDescent="0.25">
      <c r="Q121">
        <v>-1.1621900000000001</v>
      </c>
      <c r="R121">
        <v>0.13413</v>
      </c>
      <c r="S121" s="1">
        <f t="shared" si="14"/>
        <v>0.15588454470000002</v>
      </c>
      <c r="T121" s="3">
        <f t="shared" si="15"/>
        <v>124.04897920317259</v>
      </c>
    </row>
    <row r="122" spans="17:26" x14ac:dyDescent="0.25">
      <c r="Q122">
        <v>-1.17225</v>
      </c>
      <c r="R122">
        <v>0.1227</v>
      </c>
      <c r="S122" s="1">
        <f t="shared" si="14"/>
        <v>0.14383507500000001</v>
      </c>
      <c r="T122" s="3">
        <f t="shared" si="15"/>
        <v>114.4603158812175</v>
      </c>
    </row>
    <row r="123" spans="17:26" x14ac:dyDescent="0.25">
      <c r="Q123">
        <v>-1.1840299999999999</v>
      </c>
      <c r="R123">
        <v>0.11019</v>
      </c>
      <c r="S123" s="1">
        <f t="shared" si="14"/>
        <v>0.13046826569999997</v>
      </c>
      <c r="T123" s="3">
        <f t="shared" si="15"/>
        <v>103.82334701390889</v>
      </c>
    </row>
    <row r="124" spans="17:26" x14ac:dyDescent="0.25">
      <c r="Q124">
        <v>-1.19394</v>
      </c>
      <c r="R124">
        <v>9.6939999999999998E-2</v>
      </c>
      <c r="S124" s="1">
        <f t="shared" si="14"/>
        <v>0.1157405436</v>
      </c>
      <c r="T124" s="3">
        <f t="shared" si="15"/>
        <v>92.10339815041516</v>
      </c>
    </row>
    <row r="125" spans="17:26" x14ac:dyDescent="0.25">
      <c r="Q125">
        <v>-1.2045600000000001</v>
      </c>
      <c r="R125">
        <v>8.516E-2</v>
      </c>
      <c r="S125" s="1">
        <f t="shared" si="14"/>
        <v>0.10258032960000001</v>
      </c>
      <c r="T125" s="3">
        <f t="shared" si="15"/>
        <v>81.630832599179342</v>
      </c>
    </row>
    <row r="126" spans="17:26" x14ac:dyDescent="0.25">
      <c r="Q126">
        <v>-1.2163900000000001</v>
      </c>
      <c r="R126">
        <v>7.1300000000000002E-2</v>
      </c>
      <c r="S126" s="1">
        <f t="shared" si="14"/>
        <v>8.6728607000000013E-2</v>
      </c>
      <c r="T126" s="3">
        <f t="shared" si="15"/>
        <v>69.016432557621798</v>
      </c>
    </row>
    <row r="127" spans="17:26" x14ac:dyDescent="0.25">
      <c r="Q127">
        <v>-1.2259800000000001</v>
      </c>
      <c r="R127">
        <v>6.0470000000000003E-2</v>
      </c>
      <c r="S127" s="1">
        <f t="shared" si="14"/>
        <v>7.4135010600000009E-2</v>
      </c>
      <c r="T127" s="3">
        <f t="shared" si="15"/>
        <v>58.994766965800295</v>
      </c>
    </row>
    <row r="128" spans="17:26" x14ac:dyDescent="0.25">
      <c r="Q128">
        <v>-1.23427</v>
      </c>
      <c r="R128">
        <v>0.05</v>
      </c>
      <c r="S128" s="1">
        <f t="shared" si="14"/>
        <v>6.1713500000000004E-2</v>
      </c>
      <c r="T128" s="3">
        <f t="shared" si="15"/>
        <v>49.110042902508418</v>
      </c>
    </row>
    <row r="129" spans="17:20" x14ac:dyDescent="0.25">
      <c r="Q129">
        <v>-1.24417</v>
      </c>
      <c r="R129">
        <v>3.8330000000000003E-2</v>
      </c>
      <c r="S129" s="1">
        <f t="shared" si="14"/>
        <v>4.7689036100000005E-2</v>
      </c>
      <c r="T129" s="3">
        <f t="shared" si="15"/>
        <v>37.949729133014216</v>
      </c>
    </row>
    <row r="130" spans="17:20" x14ac:dyDescent="0.25">
      <c r="Q130">
        <v>-1.2534000000000001</v>
      </c>
      <c r="R130">
        <v>2.6800000000000001E-2</v>
      </c>
      <c r="S130" s="1">
        <f t="shared" si="14"/>
        <v>3.3591120000000002E-2</v>
      </c>
      <c r="T130" s="3">
        <f t="shared" si="15"/>
        <v>26.730963959965138</v>
      </c>
    </row>
    <row r="131" spans="17:20" x14ac:dyDescent="0.25">
      <c r="Q131">
        <v>-1.2709900000000001</v>
      </c>
      <c r="R131">
        <v>7.8600000000000007E-3</v>
      </c>
      <c r="S131" s="1">
        <f t="shared" si="14"/>
        <v>9.9899814000000021E-3</v>
      </c>
      <c r="T131" s="3">
        <f t="shared" si="15"/>
        <v>7.9497746060304664</v>
      </c>
    </row>
    <row r="132" spans="17:20" x14ac:dyDescent="0.25">
      <c r="Q132">
        <v>-1.2762</v>
      </c>
      <c r="R132" s="13">
        <v>2.4783200000000002E-4</v>
      </c>
      <c r="S132" s="1">
        <f t="shared" si="14"/>
        <v>3.1628319840000004E-4</v>
      </c>
      <c r="T132" s="3">
        <f t="shared" si="15"/>
        <v>0.25169017221137324</v>
      </c>
    </row>
    <row r="133" spans="17:20" x14ac:dyDescent="0.25">
      <c r="Q133">
        <v>-1.28582</v>
      </c>
      <c r="R133">
        <v>-1.204E-2</v>
      </c>
      <c r="S133" s="1">
        <f t="shared" si="14"/>
        <v>1.5481272799999999E-2</v>
      </c>
      <c r="T133" s="3">
        <f t="shared" si="15"/>
        <v>12.319605457370535</v>
      </c>
    </row>
    <row r="134" spans="17:20" x14ac:dyDescent="0.25">
      <c r="T134" s="14">
        <f>MAX(T12:T133)</f>
        <v>353.10166524372221</v>
      </c>
    </row>
  </sheetData>
  <mergeCells count="5">
    <mergeCell ref="C4:F4"/>
    <mergeCell ref="H4:K4"/>
    <mergeCell ref="C13:F13"/>
    <mergeCell ref="H13:K13"/>
    <mergeCell ref="C23:F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V29"/>
  <sheetViews>
    <sheetView workbookViewId="0">
      <selection activeCell="N3" sqref="N3:V27"/>
    </sheetView>
  </sheetViews>
  <sheetFormatPr defaultRowHeight="15" x14ac:dyDescent="0.25"/>
  <sheetData>
    <row r="2" spans="3:22" ht="15.75" thickBot="1" x14ac:dyDescent="0.3"/>
    <row r="3" spans="3:22" x14ac:dyDescent="0.25">
      <c r="C3" s="10" t="s">
        <v>5</v>
      </c>
      <c r="D3" s="11"/>
      <c r="E3" s="11"/>
      <c r="F3" s="12"/>
      <c r="H3" s="10" t="s">
        <v>6</v>
      </c>
      <c r="I3" s="11"/>
      <c r="J3" s="11"/>
      <c r="K3" s="12"/>
      <c r="N3" s="10" t="s">
        <v>9</v>
      </c>
      <c r="O3" s="11"/>
      <c r="P3" s="11"/>
      <c r="Q3" s="12"/>
      <c r="S3" s="10" t="s">
        <v>10</v>
      </c>
      <c r="T3" s="11"/>
      <c r="U3" s="11"/>
      <c r="V3" s="12"/>
    </row>
    <row r="4" spans="3:22" x14ac:dyDescent="0.25">
      <c r="C4" s="2" t="s">
        <v>1</v>
      </c>
      <c r="D4" s="1" t="s">
        <v>2</v>
      </c>
      <c r="E4" s="1" t="s">
        <v>3</v>
      </c>
      <c r="F4" s="3" t="s">
        <v>4</v>
      </c>
      <c r="H4" s="2" t="s">
        <v>1</v>
      </c>
      <c r="I4" s="1" t="s">
        <v>2</v>
      </c>
      <c r="J4" s="1" t="s">
        <v>3</v>
      </c>
      <c r="K4" s="3" t="s">
        <v>4</v>
      </c>
      <c r="N4" s="2" t="s">
        <v>1</v>
      </c>
      <c r="O4" s="1" t="s">
        <v>2</v>
      </c>
      <c r="P4" s="1" t="s">
        <v>3</v>
      </c>
      <c r="Q4" s="3" t="s">
        <v>4</v>
      </c>
      <c r="S4" s="2" t="s">
        <v>1</v>
      </c>
      <c r="T4" s="1" t="s">
        <v>2</v>
      </c>
      <c r="U4" s="1" t="s">
        <v>3</v>
      </c>
      <c r="V4" s="3" t="s">
        <v>4</v>
      </c>
    </row>
    <row r="5" spans="3:22" x14ac:dyDescent="0.25">
      <c r="C5" s="2">
        <v>6.6070000000000004E-2</v>
      </c>
      <c r="D5" s="1">
        <v>1.0033099999999999</v>
      </c>
      <c r="E5" s="1">
        <f>ABS(D5*C5)</f>
        <v>6.6288691699999999E-2</v>
      </c>
      <c r="F5" s="3">
        <f>E5/(4*PI()*0.0001)</f>
        <v>52.750864775748475</v>
      </c>
      <c r="H5" s="2">
        <v>1.7860000000000001E-2</v>
      </c>
      <c r="I5" s="1">
        <v>1.03041</v>
      </c>
      <c r="J5" s="1">
        <f>ABS(I5*H5)</f>
        <v>1.8403122600000002E-2</v>
      </c>
      <c r="K5" s="3">
        <f>J5/(4*PI()*0.0001)</f>
        <v>14.644739650580867</v>
      </c>
      <c r="N5" s="2">
        <v>4.7789999999999999E-2</v>
      </c>
      <c r="O5" s="1">
        <v>1.08667</v>
      </c>
      <c r="P5" s="1">
        <f>ABS(O5*N5)</f>
        <v>5.1931959299999997E-2</v>
      </c>
      <c r="Q5" s="3">
        <f>P5/(4*PI()*0.0001)</f>
        <v>41.326140135210622</v>
      </c>
      <c r="S5" s="2">
        <v>-1.1990000000000001E-2</v>
      </c>
      <c r="T5" s="1">
        <v>1.1100099999999999</v>
      </c>
      <c r="U5" s="1">
        <f>ABS(T5*S5)</f>
        <v>1.33090199E-2</v>
      </c>
      <c r="V5" s="3">
        <f>U5/(4*PI()*0.0001)</f>
        <v>10.590981523967013</v>
      </c>
    </row>
    <row r="6" spans="3:22" x14ac:dyDescent="0.25">
      <c r="C6" s="2">
        <v>-0.13062000000000001</v>
      </c>
      <c r="D6" s="1">
        <v>0.78364</v>
      </c>
      <c r="E6" s="1">
        <f t="shared" ref="E6:E10" si="0">ABS(D6*C6)</f>
        <v>0.10235905680000001</v>
      </c>
      <c r="F6" s="3">
        <f t="shared" ref="F6:F10" si="1">E6/(4*PI()*0.0001)</f>
        <v>81.454749299720433</v>
      </c>
      <c r="H6" s="2">
        <v>-0.17743</v>
      </c>
      <c r="I6" s="1">
        <v>0.80891000000000002</v>
      </c>
      <c r="J6" s="1">
        <f t="shared" ref="J6:J10" si="2">ABS(I6*H6)</f>
        <v>0.14352490130000001</v>
      </c>
      <c r="K6" s="3">
        <f t="shared" ref="K6:K10" si="3">J6/(4*PI()*0.0001)</f>
        <v>114.21348749335698</v>
      </c>
      <c r="N6" s="2">
        <v>-0.14954000000000001</v>
      </c>
      <c r="O6" s="1">
        <v>0.87104999999999999</v>
      </c>
      <c r="P6" s="1">
        <f t="shared" ref="P6:P10" si="4">ABS(O6*N6)</f>
        <v>0.130256817</v>
      </c>
      <c r="Q6" s="3">
        <f t="shared" ref="Q6:Q10" si="5">P6/(4*PI()*0.0001)</f>
        <v>103.65508148483212</v>
      </c>
      <c r="S6" s="2">
        <v>-0.20863000000000001</v>
      </c>
      <c r="T6" s="1">
        <v>0.89546999999999999</v>
      </c>
      <c r="U6" s="1">
        <f t="shared" ref="U6:U10" si="6">ABS(T6*S6)</f>
        <v>0.18682190610000002</v>
      </c>
      <c r="V6" s="3">
        <f t="shared" ref="V6:V10" si="7">U6/(4*PI()*0.0001)</f>
        <v>148.66814916832459</v>
      </c>
    </row>
    <row r="7" spans="3:22" x14ac:dyDescent="0.25">
      <c r="C7" s="2">
        <v>-0.32712999999999998</v>
      </c>
      <c r="D7" s="1">
        <v>0.56264999999999998</v>
      </c>
      <c r="E7" s="1">
        <f t="shared" si="0"/>
        <v>0.18405969449999998</v>
      </c>
      <c r="F7" s="4">
        <f t="shared" si="1"/>
        <v>146.47005101829569</v>
      </c>
      <c r="H7" s="2">
        <v>-0.37243999999999999</v>
      </c>
      <c r="I7" s="1">
        <v>0.58616999999999997</v>
      </c>
      <c r="J7" s="1">
        <f t="shared" si="2"/>
        <v>0.21831315479999999</v>
      </c>
      <c r="K7" s="4">
        <f t="shared" si="3"/>
        <v>173.72808864203068</v>
      </c>
      <c r="N7" s="2">
        <v>-0.34669</v>
      </c>
      <c r="O7" s="1">
        <v>0.65446000000000004</v>
      </c>
      <c r="P7" s="1">
        <f t="shared" si="4"/>
        <v>0.22689473740000002</v>
      </c>
      <c r="Q7" s="8">
        <f t="shared" si="5"/>
        <v>180.5570950937377</v>
      </c>
      <c r="S7" s="2">
        <v>-0.40464</v>
      </c>
      <c r="T7" s="1">
        <v>0.67835999999999996</v>
      </c>
      <c r="U7" s="1">
        <f t="shared" si="6"/>
        <v>0.27449159039999999</v>
      </c>
      <c r="V7" s="8">
        <f t="shared" si="7"/>
        <v>218.43346724657923</v>
      </c>
    </row>
    <row r="8" spans="3:22" x14ac:dyDescent="0.25">
      <c r="C8" s="2">
        <v>-0.52327000000000001</v>
      </c>
      <c r="D8" s="1">
        <v>0.33953</v>
      </c>
      <c r="E8" s="1">
        <f t="shared" si="0"/>
        <v>0.17766586310000002</v>
      </c>
      <c r="F8" s="9">
        <f t="shared" si="1"/>
        <v>141.38200165526484</v>
      </c>
      <c r="H8" s="2">
        <v>-0.56698999999999999</v>
      </c>
      <c r="I8" s="1">
        <v>0.36130000000000001</v>
      </c>
      <c r="J8" s="1">
        <f t="shared" si="2"/>
        <v>0.204853487</v>
      </c>
      <c r="K8" s="9">
        <f t="shared" si="3"/>
        <v>163.01722532830661</v>
      </c>
      <c r="N8" s="2">
        <v>-0.54344999999999999</v>
      </c>
      <c r="O8" s="1">
        <v>0.43558000000000002</v>
      </c>
      <c r="P8" s="1">
        <f t="shared" si="4"/>
        <v>0.23671595100000001</v>
      </c>
      <c r="Q8" s="4">
        <f t="shared" si="5"/>
        <v>188.37256855174445</v>
      </c>
      <c r="S8" s="2">
        <v>-0.59987999999999997</v>
      </c>
      <c r="T8" s="1">
        <v>0.45800000000000002</v>
      </c>
      <c r="U8" s="1">
        <f t="shared" si="6"/>
        <v>0.27474504</v>
      </c>
      <c r="V8" s="4">
        <f t="shared" si="7"/>
        <v>218.63515602990253</v>
      </c>
    </row>
    <row r="9" spans="3:22" x14ac:dyDescent="0.25">
      <c r="C9" s="2">
        <v>-0.71887000000000001</v>
      </c>
      <c r="D9" s="1">
        <v>0.11318</v>
      </c>
      <c r="E9" s="1">
        <f t="shared" si="0"/>
        <v>8.13617066E-2</v>
      </c>
      <c r="F9" s="3">
        <f t="shared" si="1"/>
        <v>64.745588918912432</v>
      </c>
      <c r="H9" s="2">
        <v>-0.76104000000000005</v>
      </c>
      <c r="I9" s="1">
        <v>0.13424</v>
      </c>
      <c r="J9" s="1">
        <f t="shared" si="2"/>
        <v>0.10216200960000001</v>
      </c>
      <c r="K9" s="3">
        <f t="shared" si="3"/>
        <v>81.297944120208328</v>
      </c>
      <c r="N9" s="2">
        <v>-0.73984000000000005</v>
      </c>
      <c r="O9" s="1">
        <v>0.21467</v>
      </c>
      <c r="P9" s="1">
        <f t="shared" si="4"/>
        <v>0.15882145280000001</v>
      </c>
      <c r="Q9" s="3">
        <f t="shared" si="5"/>
        <v>126.38609641078072</v>
      </c>
      <c r="S9" s="2">
        <v>-0.79498999999999997</v>
      </c>
      <c r="T9" s="1">
        <v>0.23705000000000001</v>
      </c>
      <c r="U9" s="1">
        <f t="shared" si="6"/>
        <v>0.18845237949999999</v>
      </c>
      <c r="V9" s="3">
        <f t="shared" si="7"/>
        <v>149.96563867427381</v>
      </c>
    </row>
    <row r="10" spans="3:22" ht="15.75" thickBot="1" x14ac:dyDescent="0.3">
      <c r="C10" s="5"/>
      <c r="D10" s="6"/>
      <c r="E10" s="6">
        <f t="shared" si="0"/>
        <v>0</v>
      </c>
      <c r="F10" s="7">
        <f t="shared" si="1"/>
        <v>0</v>
      </c>
      <c r="H10" s="5"/>
      <c r="I10" s="6"/>
      <c r="J10" s="6">
        <f t="shared" si="2"/>
        <v>0</v>
      </c>
      <c r="K10" s="7">
        <f t="shared" si="3"/>
        <v>0</v>
      </c>
      <c r="N10" s="5"/>
      <c r="O10" s="6"/>
      <c r="P10" s="6">
        <f t="shared" si="4"/>
        <v>0</v>
      </c>
      <c r="Q10" s="7">
        <f t="shared" si="5"/>
        <v>0</v>
      </c>
      <c r="S10" s="5">
        <v>-0.98968999999999996</v>
      </c>
      <c r="T10" s="6">
        <v>1.417E-2</v>
      </c>
      <c r="U10" s="6">
        <f t="shared" si="6"/>
        <v>1.4023907299999999E-2</v>
      </c>
      <c r="V10" s="7">
        <f t="shared" si="7"/>
        <v>11.159870841287578</v>
      </c>
    </row>
    <row r="11" spans="3:22" ht="15.75" thickBot="1" x14ac:dyDescent="0.3"/>
    <row r="12" spans="3:22" x14ac:dyDescent="0.25">
      <c r="C12" s="10" t="s">
        <v>8</v>
      </c>
      <c r="D12" s="11"/>
      <c r="E12" s="11"/>
      <c r="F12" s="12"/>
      <c r="H12" s="10" t="s">
        <v>7</v>
      </c>
      <c r="I12" s="11"/>
      <c r="J12" s="11"/>
      <c r="K12" s="12"/>
      <c r="N12" s="10" t="s">
        <v>11</v>
      </c>
      <c r="O12" s="11"/>
      <c r="P12" s="11"/>
      <c r="Q12" s="12"/>
      <c r="S12" s="10" t="s">
        <v>12</v>
      </c>
      <c r="T12" s="11"/>
      <c r="U12" s="11"/>
      <c r="V12" s="12"/>
    </row>
    <row r="13" spans="3:22" x14ac:dyDescent="0.25">
      <c r="C13" s="2" t="s">
        <v>1</v>
      </c>
      <c r="D13" s="1" t="s">
        <v>2</v>
      </c>
      <c r="E13" s="1" t="s">
        <v>3</v>
      </c>
      <c r="F13" s="3" t="s">
        <v>4</v>
      </c>
      <c r="H13" s="2" t="s">
        <v>1</v>
      </c>
      <c r="I13" s="1" t="s">
        <v>2</v>
      </c>
      <c r="J13" s="1" t="s">
        <v>3</v>
      </c>
      <c r="K13" s="3" t="s">
        <v>4</v>
      </c>
      <c r="N13" s="2" t="s">
        <v>1</v>
      </c>
      <c r="O13" s="1" t="s">
        <v>2</v>
      </c>
      <c r="P13" s="1" t="s">
        <v>3</v>
      </c>
      <c r="Q13" s="3" t="s">
        <v>4</v>
      </c>
      <c r="S13" s="2" t="s">
        <v>1</v>
      </c>
      <c r="T13" s="1" t="s">
        <v>2</v>
      </c>
      <c r="U13" s="1" t="s">
        <v>3</v>
      </c>
      <c r="V13" s="3" t="s">
        <v>4</v>
      </c>
    </row>
    <row r="14" spans="3:22" x14ac:dyDescent="0.25">
      <c r="C14" s="2">
        <v>0.18803</v>
      </c>
      <c r="D14" s="1">
        <v>1.1919200000000001</v>
      </c>
      <c r="E14" s="1">
        <f>ABS(D14*C14)</f>
        <v>0.22411671760000001</v>
      </c>
      <c r="F14" s="3">
        <f>E14/(4*PI()*0.0001)</f>
        <v>178.34641717785192</v>
      </c>
      <c r="H14" s="2">
        <v>0.17610000000000001</v>
      </c>
      <c r="I14" s="1">
        <v>1.3318000000000001</v>
      </c>
      <c r="J14" s="1">
        <f>ABS(I14*H14)</f>
        <v>0.23452998000000003</v>
      </c>
      <c r="K14" s="3">
        <f>J14/(4*PI()*0.0001)</f>
        <v>186.63302810121678</v>
      </c>
      <c r="N14" s="2">
        <v>-2.9100000000000001E-2</v>
      </c>
      <c r="O14" s="1">
        <v>1.1046</v>
      </c>
      <c r="P14" s="1">
        <f>ABS(O14*N14)</f>
        <v>3.2143860000000003E-2</v>
      </c>
      <c r="Q14" s="3">
        <f>P14/(4*PI()*0.0001)</f>
        <v>25.579271045269259</v>
      </c>
      <c r="S14" s="2">
        <v>-3.024E-2</v>
      </c>
      <c r="T14" s="1">
        <v>1.0813200000000001</v>
      </c>
      <c r="U14" s="1">
        <f>ABS(T14*S14)</f>
        <v>3.2699116800000004E-2</v>
      </c>
      <c r="V14" s="3">
        <f>U14/(4*PI()*0.0001)</f>
        <v>26.021130367296198</v>
      </c>
    </row>
    <row r="15" spans="3:22" x14ac:dyDescent="0.25">
      <c r="C15" s="2">
        <v>-7.0699999999999999E-3</v>
      </c>
      <c r="D15" s="1">
        <v>0.97367000000000004</v>
      </c>
      <c r="E15" s="1">
        <f t="shared" ref="E15:E19" si="8">ABS(D15*C15)</f>
        <v>6.8838468999999998E-3</v>
      </c>
      <c r="F15" s="3">
        <f t="shared" ref="F15:F19" si="9">E15/(4*PI()*0.0001)</f>
        <v>5.4779913081141007</v>
      </c>
      <c r="H15" s="2">
        <v>-1.7149999999999999E-2</v>
      </c>
      <c r="I15" s="1">
        <v>1.12016</v>
      </c>
      <c r="J15" s="1">
        <f t="shared" ref="J15:J20" si="10">ABS(I15*H15)</f>
        <v>1.9210743999999998E-2</v>
      </c>
      <c r="K15" s="3">
        <f t="shared" ref="K15:K20" si="11">J15/(4*PI()*0.0001)</f>
        <v>15.287424340364849</v>
      </c>
      <c r="N15" s="2">
        <v>-0.22524</v>
      </c>
      <c r="O15" s="1">
        <v>0.88934000000000002</v>
      </c>
      <c r="P15" s="1">
        <f t="shared" ref="P15:P19" si="12">ABS(O15*N15)</f>
        <v>0.20031494159999999</v>
      </c>
      <c r="Q15" s="3">
        <f t="shared" ref="Q15:Q19" si="13">P15/(4*PI()*0.0001)</f>
        <v>159.4055656540217</v>
      </c>
      <c r="S15" s="2">
        <v>-0.22631999999999999</v>
      </c>
      <c r="T15" s="1">
        <v>0.86612</v>
      </c>
      <c r="U15" s="1">
        <f t="shared" ref="U15:U19" si="14">ABS(T15*S15)</f>
        <v>0.1960202784</v>
      </c>
      <c r="V15" s="3">
        <f t="shared" ref="V15:V19" si="15">U15/(4*PI()*0.0001)</f>
        <v>155.98798126804741</v>
      </c>
    </row>
    <row r="16" spans="3:22" x14ac:dyDescent="0.25">
      <c r="C16" s="2">
        <v>-0.20111000000000001</v>
      </c>
      <c r="D16" s="1">
        <v>0.75136999999999998</v>
      </c>
      <c r="E16" s="1">
        <f t="shared" si="8"/>
        <v>0.15110802070000001</v>
      </c>
      <c r="F16" s="8">
        <f t="shared" si="9"/>
        <v>120.24794217618722</v>
      </c>
      <c r="H16" s="2">
        <v>-0.20876</v>
      </c>
      <c r="I16" s="1">
        <v>0.90561999999999998</v>
      </c>
      <c r="J16" s="1">
        <f t="shared" si="10"/>
        <v>0.18905723120000001</v>
      </c>
      <c r="K16" s="8">
        <f t="shared" si="11"/>
        <v>150.4469643637365</v>
      </c>
      <c r="N16" s="2">
        <v>-0.42057</v>
      </c>
      <c r="O16" s="1">
        <v>0.67090000000000005</v>
      </c>
      <c r="P16" s="1">
        <f t="shared" si="12"/>
        <v>0.282160413</v>
      </c>
      <c r="Q16" s="4">
        <f t="shared" si="13"/>
        <v>224.53612236900344</v>
      </c>
      <c r="S16" s="2">
        <v>-0.42185</v>
      </c>
      <c r="T16" s="1">
        <v>0.64900000000000002</v>
      </c>
      <c r="U16" s="1">
        <f t="shared" si="14"/>
        <v>0.27378065000000001</v>
      </c>
      <c r="V16" s="4">
        <f t="shared" si="15"/>
        <v>217.86771885206059</v>
      </c>
    </row>
    <row r="17" spans="3:22" x14ac:dyDescent="0.25">
      <c r="C17" s="2">
        <v>-0.39391999999999999</v>
      </c>
      <c r="D17" s="1">
        <v>0.52451999999999999</v>
      </c>
      <c r="E17" s="1">
        <f t="shared" si="8"/>
        <v>0.20661891839999999</v>
      </c>
      <c r="F17" s="4">
        <f t="shared" si="9"/>
        <v>164.42211099830482</v>
      </c>
      <c r="H17" s="2">
        <v>-0.39839999999999998</v>
      </c>
      <c r="I17" s="1">
        <v>0.68767</v>
      </c>
      <c r="J17" s="1">
        <f t="shared" si="10"/>
        <v>0.27396772799999997</v>
      </c>
      <c r="K17" s="4">
        <f t="shared" si="11"/>
        <v>218.0165907942793</v>
      </c>
      <c r="N17" s="2">
        <v>-0.61504999999999999</v>
      </c>
      <c r="O17" s="1">
        <v>0.44905</v>
      </c>
      <c r="P17" s="1">
        <f t="shared" si="12"/>
        <v>0.27618820249999998</v>
      </c>
      <c r="Q17" s="8">
        <f t="shared" si="13"/>
        <v>219.78358825770181</v>
      </c>
      <c r="S17" s="2">
        <v>-0.61636999999999997</v>
      </c>
      <c r="T17" s="1">
        <v>0.42819000000000002</v>
      </c>
      <c r="U17" s="1">
        <f t="shared" si="14"/>
        <v>0.26392347030000002</v>
      </c>
      <c r="V17" s="8">
        <f t="shared" si="15"/>
        <v>210.02362448106018</v>
      </c>
    </row>
    <row r="18" spans="3:22" x14ac:dyDescent="0.25">
      <c r="C18" s="2">
        <v>-0.58538000000000001</v>
      </c>
      <c r="D18" s="1">
        <v>0.29257</v>
      </c>
      <c r="E18" s="1">
        <f t="shared" si="8"/>
        <v>0.1712646266</v>
      </c>
      <c r="F18" s="3">
        <f t="shared" si="9"/>
        <v>136.28805950088852</v>
      </c>
      <c r="H18" s="2">
        <v>-0.58545000000000003</v>
      </c>
      <c r="I18" s="1">
        <v>0.46539999999999998</v>
      </c>
      <c r="J18" s="1">
        <f t="shared" si="10"/>
        <v>0.27246842999999998</v>
      </c>
      <c r="K18" s="3">
        <f t="shared" si="11"/>
        <v>216.82348735494034</v>
      </c>
      <c r="N18" s="2">
        <v>-0.80916999999999994</v>
      </c>
      <c r="O18" s="1">
        <v>0.22591</v>
      </c>
      <c r="P18" s="1">
        <f t="shared" si="12"/>
        <v>0.18279959469999998</v>
      </c>
      <c r="Q18" s="3">
        <f t="shared" si="13"/>
        <v>145.46729545850016</v>
      </c>
      <c r="S18" s="2">
        <v>-0.81069999999999998</v>
      </c>
      <c r="T18" s="1">
        <v>0.20635999999999999</v>
      </c>
      <c r="U18" s="1">
        <f t="shared" si="14"/>
        <v>0.16729605199999997</v>
      </c>
      <c r="V18" s="3">
        <f t="shared" si="15"/>
        <v>133.12996817779378</v>
      </c>
    </row>
    <row r="19" spans="3:22" ht="15.75" thickBot="1" x14ac:dyDescent="0.3">
      <c r="C19" s="5">
        <v>-0.77542999999999995</v>
      </c>
      <c r="D19" s="6">
        <v>5.5480000000000002E-2</v>
      </c>
      <c r="E19" s="6">
        <f t="shared" si="8"/>
        <v>4.3020856400000002E-2</v>
      </c>
      <c r="F19" s="7">
        <f t="shared" si="9"/>
        <v>34.234909760533007</v>
      </c>
      <c r="H19" s="2">
        <v>-0.7712</v>
      </c>
      <c r="I19" s="1">
        <v>0.24085999999999999</v>
      </c>
      <c r="J19" s="1">
        <f t="shared" si="10"/>
        <v>0.18575123199999999</v>
      </c>
      <c r="K19" s="3">
        <f t="shared" si="11"/>
        <v>147.81613379104724</v>
      </c>
      <c r="N19" s="5"/>
      <c r="O19" s="6"/>
      <c r="P19" s="6">
        <f t="shared" si="12"/>
        <v>0</v>
      </c>
      <c r="Q19" s="7">
        <f t="shared" si="13"/>
        <v>0</v>
      </c>
      <c r="S19" s="5"/>
      <c r="T19" s="6"/>
      <c r="U19" s="6">
        <f t="shared" si="14"/>
        <v>0</v>
      </c>
      <c r="V19" s="7">
        <f t="shared" si="15"/>
        <v>0</v>
      </c>
    </row>
    <row r="20" spans="3:22" ht="15.75" thickBot="1" x14ac:dyDescent="0.3">
      <c r="H20" s="5">
        <v>-0.95537000000000005</v>
      </c>
      <c r="I20" s="6">
        <v>1.3469999999999999E-2</v>
      </c>
      <c r="J20" s="6">
        <f t="shared" si="10"/>
        <v>1.28688339E-2</v>
      </c>
      <c r="K20" s="7">
        <f t="shared" si="11"/>
        <v>10.240692635067768</v>
      </c>
    </row>
    <row r="21" spans="3:22" ht="15.75" thickBot="1" x14ac:dyDescent="0.3">
      <c r="N21" s="10" t="s">
        <v>13</v>
      </c>
      <c r="O21" s="11"/>
      <c r="P21" s="11"/>
      <c r="Q21" s="12"/>
    </row>
    <row r="22" spans="3:22" x14ac:dyDescent="0.25">
      <c r="C22" s="10" t="s">
        <v>14</v>
      </c>
      <c r="D22" s="11"/>
      <c r="E22" s="11"/>
      <c r="F22" s="12"/>
      <c r="N22" s="2" t="s">
        <v>1</v>
      </c>
      <c r="O22" s="1" t="s">
        <v>2</v>
      </c>
      <c r="P22" s="1" t="s">
        <v>3</v>
      </c>
      <c r="Q22" s="3" t="s">
        <v>4</v>
      </c>
    </row>
    <row r="23" spans="3:22" x14ac:dyDescent="0.25">
      <c r="C23" s="2" t="s">
        <v>1</v>
      </c>
      <c r="D23" s="1" t="s">
        <v>2</v>
      </c>
      <c r="E23" s="1" t="s">
        <v>3</v>
      </c>
      <c r="F23" s="3" t="s">
        <v>4</v>
      </c>
      <c r="N23" s="2">
        <v>-7.4690000000000006E-2</v>
      </c>
      <c r="O23" s="1">
        <v>1.0626199999999999</v>
      </c>
      <c r="P23" s="1">
        <f>ABS(O23*N23)</f>
        <v>7.93670878E-2</v>
      </c>
      <c r="Q23" s="3">
        <f>P23/(4*PI()*0.0001)</f>
        <v>63.158321710892302</v>
      </c>
    </row>
    <row r="24" spans="3:22" x14ac:dyDescent="0.25">
      <c r="C24" s="2">
        <v>5.8970000000000002E-2</v>
      </c>
      <c r="D24" s="1">
        <v>1.2431000000000001</v>
      </c>
      <c r="E24" s="1">
        <f>ABS(D24*C24)</f>
        <v>7.3305607000000009E-2</v>
      </c>
      <c r="F24" s="3">
        <f>E24/(4*PI()*0.0001)</f>
        <v>58.334748552009231</v>
      </c>
      <c r="N24" s="2">
        <v>-0.26995999999999998</v>
      </c>
      <c r="O24" s="1">
        <v>0.84775999999999996</v>
      </c>
      <c r="P24" s="1">
        <f t="shared" ref="P24:P28" si="16">ABS(O24*N24)</f>
        <v>0.22886128959999996</v>
      </c>
      <c r="Q24" s="3">
        <f t="shared" ref="Q24:Q28" si="17">P24/(4*PI()*0.0001)</f>
        <v>182.12202761112886</v>
      </c>
    </row>
    <row r="25" spans="3:22" x14ac:dyDescent="0.25">
      <c r="C25" s="2">
        <v>-0.13442999999999999</v>
      </c>
      <c r="D25" s="1">
        <v>1.0268200000000001</v>
      </c>
      <c r="E25" s="1">
        <f t="shared" ref="E25:E29" si="18">ABS(D25*C25)</f>
        <v>0.13803541259999999</v>
      </c>
      <c r="F25" s="3">
        <f t="shared" ref="F25:F29" si="19">E25/(4*PI()*0.0001)</f>
        <v>109.84509118509646</v>
      </c>
      <c r="N25" s="2">
        <v>-0.46290999999999999</v>
      </c>
      <c r="O25" s="1">
        <v>0.62561999999999995</v>
      </c>
      <c r="P25" s="1">
        <f t="shared" si="16"/>
        <v>0.28960575419999995</v>
      </c>
      <c r="Q25" s="4">
        <f t="shared" si="17"/>
        <v>230.46093664393211</v>
      </c>
    </row>
    <row r="26" spans="3:22" x14ac:dyDescent="0.25">
      <c r="C26" s="2">
        <v>-0.32652999999999999</v>
      </c>
      <c r="D26" s="1">
        <v>0.80723999999999996</v>
      </c>
      <c r="E26" s="1">
        <f t="shared" si="18"/>
        <v>0.26358807719999999</v>
      </c>
      <c r="F26" s="8">
        <f t="shared" si="19"/>
        <v>209.75672713234059</v>
      </c>
      <c r="N26" s="2">
        <v>-0.65468000000000004</v>
      </c>
      <c r="O26" s="1">
        <v>0.39983000000000002</v>
      </c>
      <c r="P26" s="1">
        <f t="shared" si="16"/>
        <v>0.26176070440000004</v>
      </c>
      <c r="Q26" s="8">
        <f t="shared" si="17"/>
        <v>208.30255006238224</v>
      </c>
    </row>
    <row r="27" spans="3:22" x14ac:dyDescent="0.25">
      <c r="C27" s="2">
        <v>-0.51456000000000002</v>
      </c>
      <c r="D27" s="1">
        <v>0.57767000000000002</v>
      </c>
      <c r="E27" s="1">
        <f t="shared" si="18"/>
        <v>0.29724587520000001</v>
      </c>
      <c r="F27" s="4">
        <f t="shared" si="19"/>
        <v>236.54075175878313</v>
      </c>
      <c r="N27" s="2">
        <v>-0.84557000000000004</v>
      </c>
      <c r="O27" s="1">
        <v>0.17124</v>
      </c>
      <c r="P27" s="1">
        <f t="shared" si="16"/>
        <v>0.1447954068</v>
      </c>
      <c r="Q27" s="3">
        <f t="shared" si="17"/>
        <v>115.22452364610918</v>
      </c>
    </row>
    <row r="28" spans="3:22" ht="15.75" thickBot="1" x14ac:dyDescent="0.3">
      <c r="C28" s="2">
        <v>-0.70032000000000005</v>
      </c>
      <c r="D28" s="1">
        <v>0.34250000000000003</v>
      </c>
      <c r="E28" s="1">
        <f t="shared" si="18"/>
        <v>0.23985960000000003</v>
      </c>
      <c r="F28" s="3">
        <f t="shared" si="19"/>
        <v>190.87420494022393</v>
      </c>
      <c r="N28" s="5"/>
      <c r="O28" s="6"/>
      <c r="P28" s="6">
        <f t="shared" si="16"/>
        <v>0</v>
      </c>
      <c r="Q28" s="7">
        <f t="shared" si="17"/>
        <v>0</v>
      </c>
    </row>
    <row r="29" spans="3:22" ht="15.75" thickBot="1" x14ac:dyDescent="0.3">
      <c r="C29" s="5">
        <v>-0.88214000000000004</v>
      </c>
      <c r="D29" s="6">
        <v>9.7519999999999996E-2</v>
      </c>
      <c r="E29" s="6">
        <f t="shared" si="18"/>
        <v>8.6026292800000001E-2</v>
      </c>
      <c r="F29" s="7">
        <f t="shared" si="19"/>
        <v>68.457548674953628</v>
      </c>
    </row>
  </sheetData>
  <mergeCells count="10">
    <mergeCell ref="C22:F22"/>
    <mergeCell ref="N3:Q3"/>
    <mergeCell ref="S3:V3"/>
    <mergeCell ref="N12:Q12"/>
    <mergeCell ref="S12:V12"/>
    <mergeCell ref="N21:Q21"/>
    <mergeCell ref="C3:F3"/>
    <mergeCell ref="H3:K3"/>
    <mergeCell ref="C12:F12"/>
    <mergeCell ref="H12:K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G43"/>
  <sheetViews>
    <sheetView topLeftCell="A25" workbookViewId="0">
      <selection activeCell="E40" sqref="E40"/>
    </sheetView>
  </sheetViews>
  <sheetFormatPr defaultRowHeight="15" x14ac:dyDescent="0.25"/>
  <cols>
    <col min="4" max="4" width="16.42578125" bestFit="1" customWidth="1"/>
    <col min="5" max="5" width="9.42578125" bestFit="1" customWidth="1"/>
    <col min="7" max="7" width="13.28515625" bestFit="1" customWidth="1"/>
  </cols>
  <sheetData>
    <row r="3" spans="4:7" x14ac:dyDescent="0.25">
      <c r="D3" t="s">
        <v>15</v>
      </c>
      <c r="E3" t="s">
        <v>16</v>
      </c>
      <c r="F3" t="s">
        <v>17</v>
      </c>
      <c r="G3" t="s">
        <v>18</v>
      </c>
    </row>
    <row r="4" spans="4:7" x14ac:dyDescent="0.25">
      <c r="D4" t="s">
        <v>19</v>
      </c>
      <c r="E4">
        <v>1412</v>
      </c>
      <c r="F4">
        <v>0.98</v>
      </c>
      <c r="G4">
        <v>169</v>
      </c>
    </row>
    <row r="5" spans="4:7" x14ac:dyDescent="0.25">
      <c r="D5" t="s">
        <v>20</v>
      </c>
      <c r="E5">
        <v>1384</v>
      </c>
      <c r="F5">
        <v>0.93</v>
      </c>
      <c r="G5">
        <v>146</v>
      </c>
    </row>
    <row r="6" spans="4:7" x14ac:dyDescent="0.25">
      <c r="D6" t="s">
        <v>21</v>
      </c>
      <c r="E6">
        <v>1353</v>
      </c>
      <c r="F6">
        <v>1.07</v>
      </c>
      <c r="G6">
        <v>209</v>
      </c>
    </row>
    <row r="7" spans="4:7" x14ac:dyDescent="0.25">
      <c r="D7" t="s">
        <v>22</v>
      </c>
      <c r="E7">
        <v>1298</v>
      </c>
      <c r="F7">
        <v>1.01</v>
      </c>
      <c r="G7">
        <v>173</v>
      </c>
    </row>
    <row r="8" spans="4:7" x14ac:dyDescent="0.25">
      <c r="D8" t="s">
        <v>23</v>
      </c>
      <c r="E8">
        <v>1305</v>
      </c>
      <c r="F8">
        <v>1.27</v>
      </c>
      <c r="G8">
        <v>295</v>
      </c>
    </row>
    <row r="9" spans="4:7" x14ac:dyDescent="0.25">
      <c r="D9" t="s">
        <v>24</v>
      </c>
      <c r="E9">
        <v>1227</v>
      </c>
      <c r="F9">
        <v>0.98</v>
      </c>
      <c r="G9">
        <v>164</v>
      </c>
    </row>
    <row r="10" spans="4:7" x14ac:dyDescent="0.25">
      <c r="D10" t="s">
        <v>25</v>
      </c>
      <c r="E10">
        <v>1215</v>
      </c>
      <c r="F10">
        <v>1.32</v>
      </c>
      <c r="G10">
        <v>324</v>
      </c>
    </row>
    <row r="11" spans="4:7" x14ac:dyDescent="0.25">
      <c r="D11" t="s">
        <v>26</v>
      </c>
      <c r="E11">
        <v>1241</v>
      </c>
      <c r="F11">
        <v>1.1399999999999999</v>
      </c>
      <c r="G11">
        <v>218</v>
      </c>
    </row>
    <row r="12" spans="4:7" x14ac:dyDescent="0.25">
      <c r="D12" t="s">
        <v>27</v>
      </c>
      <c r="E12">
        <v>927</v>
      </c>
      <c r="F12">
        <v>1.39</v>
      </c>
      <c r="G12">
        <v>364</v>
      </c>
    </row>
    <row r="13" spans="4:7" x14ac:dyDescent="0.25">
      <c r="D13" t="s">
        <v>28</v>
      </c>
      <c r="E13">
        <v>1043</v>
      </c>
      <c r="F13">
        <v>1.18</v>
      </c>
      <c r="G13">
        <v>236</v>
      </c>
    </row>
    <row r="14" spans="4:7" x14ac:dyDescent="0.25">
      <c r="D14" t="s">
        <v>29</v>
      </c>
      <c r="E14">
        <v>1390</v>
      </c>
      <c r="F14">
        <v>1.0900000000000001</v>
      </c>
      <c r="G14">
        <v>212</v>
      </c>
    </row>
    <row r="15" spans="4:7" x14ac:dyDescent="0.25">
      <c r="D15" t="s">
        <v>30</v>
      </c>
      <c r="E15">
        <v>1307</v>
      </c>
      <c r="F15">
        <v>1.03</v>
      </c>
      <c r="G15">
        <v>188</v>
      </c>
    </row>
    <row r="16" spans="4:7" x14ac:dyDescent="0.25">
      <c r="D16" t="s">
        <v>31</v>
      </c>
      <c r="E16">
        <v>1364</v>
      </c>
      <c r="F16">
        <v>1.2</v>
      </c>
      <c r="G16">
        <v>262</v>
      </c>
    </row>
    <row r="17" spans="4:7" x14ac:dyDescent="0.25">
      <c r="D17" t="s">
        <v>32</v>
      </c>
      <c r="E17">
        <v>1263</v>
      </c>
      <c r="F17">
        <v>1.1200000000000001</v>
      </c>
      <c r="G17">
        <v>218</v>
      </c>
    </row>
    <row r="18" spans="4:7" x14ac:dyDescent="0.25">
      <c r="D18" t="s">
        <v>33</v>
      </c>
      <c r="E18">
        <v>1370</v>
      </c>
      <c r="F18">
        <v>1.21</v>
      </c>
      <c r="G18">
        <v>266</v>
      </c>
    </row>
    <row r="19" spans="4:7" x14ac:dyDescent="0.25">
      <c r="D19" t="s">
        <v>34</v>
      </c>
      <c r="E19">
        <v>1244</v>
      </c>
      <c r="F19">
        <v>1.1299999999999999</v>
      </c>
      <c r="G19">
        <v>224</v>
      </c>
    </row>
    <row r="20" spans="4:7" x14ac:dyDescent="0.25">
      <c r="D20" t="s">
        <v>35</v>
      </c>
      <c r="E20">
        <v>1309</v>
      </c>
      <c r="F20">
        <v>1.25</v>
      </c>
      <c r="G20">
        <v>285</v>
      </c>
    </row>
    <row r="21" spans="4:7" x14ac:dyDescent="0.25">
      <c r="D21" t="s">
        <v>36</v>
      </c>
      <c r="E21">
        <v>1274</v>
      </c>
      <c r="F21">
        <v>1.1100000000000001</v>
      </c>
      <c r="G21">
        <v>217</v>
      </c>
    </row>
    <row r="22" spans="4:7" x14ac:dyDescent="0.25">
      <c r="D22" t="s">
        <v>37</v>
      </c>
      <c r="E22">
        <v>1195</v>
      </c>
      <c r="F22">
        <v>1.37</v>
      </c>
      <c r="G22">
        <v>351</v>
      </c>
    </row>
    <row r="23" spans="4:7" x14ac:dyDescent="0.25">
      <c r="D23" t="s">
        <v>38</v>
      </c>
      <c r="E23">
        <v>1208</v>
      </c>
      <c r="F23">
        <v>1.1399999999999999</v>
      </c>
      <c r="G23">
        <v>230</v>
      </c>
    </row>
    <row r="33" spans="4:7" x14ac:dyDescent="0.25">
      <c r="D33" t="s">
        <v>15</v>
      </c>
      <c r="E33" t="s">
        <v>16</v>
      </c>
      <c r="F33" t="s">
        <v>17</v>
      </c>
      <c r="G33" t="s">
        <v>18</v>
      </c>
    </row>
    <row r="34" spans="4:7" x14ac:dyDescent="0.25">
      <c r="D34" t="s">
        <v>19</v>
      </c>
      <c r="E34">
        <v>1412</v>
      </c>
      <c r="F34">
        <v>0.98</v>
      </c>
      <c r="G34">
        <v>169</v>
      </c>
    </row>
    <row r="35" spans="4:7" x14ac:dyDescent="0.25">
      <c r="D35" t="s">
        <v>21</v>
      </c>
      <c r="E35">
        <v>1353</v>
      </c>
      <c r="F35">
        <v>1.07</v>
      </c>
      <c r="G35">
        <v>209</v>
      </c>
    </row>
    <row r="36" spans="4:7" x14ac:dyDescent="0.25">
      <c r="D36" t="s">
        <v>23</v>
      </c>
      <c r="E36">
        <v>1305</v>
      </c>
      <c r="F36">
        <v>1.27</v>
      </c>
      <c r="G36">
        <v>295</v>
      </c>
    </row>
    <row r="37" spans="4:7" x14ac:dyDescent="0.25">
      <c r="D37" t="s">
        <v>25</v>
      </c>
      <c r="E37">
        <v>1215</v>
      </c>
      <c r="F37">
        <v>1.32</v>
      </c>
      <c r="G37">
        <v>324</v>
      </c>
    </row>
    <row r="38" spans="4:7" x14ac:dyDescent="0.25">
      <c r="D38" t="s">
        <v>27</v>
      </c>
      <c r="E38">
        <v>927</v>
      </c>
      <c r="F38">
        <v>1.39</v>
      </c>
      <c r="G38">
        <v>364</v>
      </c>
    </row>
    <row r="39" spans="4:7" x14ac:dyDescent="0.25">
      <c r="D39" t="s">
        <v>29</v>
      </c>
      <c r="E39">
        <v>1390</v>
      </c>
      <c r="F39">
        <v>1.0900000000000001</v>
      </c>
      <c r="G39">
        <v>212</v>
      </c>
    </row>
    <row r="40" spans="4:7" x14ac:dyDescent="0.25">
      <c r="D40" t="s">
        <v>31</v>
      </c>
      <c r="E40">
        <v>1364</v>
      </c>
      <c r="F40">
        <v>1.2</v>
      </c>
      <c r="G40">
        <v>262</v>
      </c>
    </row>
    <row r="41" spans="4:7" x14ac:dyDescent="0.25">
      <c r="D41" t="s">
        <v>33</v>
      </c>
      <c r="E41">
        <v>1370</v>
      </c>
      <c r="F41">
        <v>1.21</v>
      </c>
      <c r="G41">
        <v>266</v>
      </c>
    </row>
    <row r="42" spans="4:7" x14ac:dyDescent="0.25">
      <c r="D42" t="s">
        <v>35</v>
      </c>
      <c r="E42">
        <v>1309</v>
      </c>
      <c r="F42">
        <v>1.25</v>
      </c>
      <c r="G42">
        <v>285</v>
      </c>
    </row>
    <row r="43" spans="4:7" x14ac:dyDescent="0.25">
      <c r="D43" t="s">
        <v>37</v>
      </c>
      <c r="E43">
        <v>1195</v>
      </c>
      <c r="F43">
        <v>1.37</v>
      </c>
      <c r="G43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Need updates Sample 6 30s-600°C</vt:lpstr>
      <vt:lpstr>Samples 30s</vt:lpstr>
      <vt:lpstr>Samples 120s</vt:lpstr>
      <vt:lpstr>Edge</vt:lpstr>
      <vt:lpstr>Figures of Merit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Maccari</dc:creator>
  <cp:lastModifiedBy>FMUSER</cp:lastModifiedBy>
  <dcterms:created xsi:type="dcterms:W3CDTF">2022-10-05T19:30:12Z</dcterms:created>
  <dcterms:modified xsi:type="dcterms:W3CDTF">2024-06-13T06:58:28Z</dcterms:modified>
</cp:coreProperties>
</file>